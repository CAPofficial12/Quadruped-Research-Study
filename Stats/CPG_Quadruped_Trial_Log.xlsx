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actors &amp; Levels" sheetId="2" state="visible" r:id="rId4"/>
    <sheet name="Condition Matrix" sheetId="3" state="visible" r:id="rId5"/>
    <sheet name="Trial Log" sheetId="4" state="visible" r:id="rId6"/>
    <sheet name="Analysis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<sst xmlns="http://schemas.openxmlformats.org/spreadsheetml/2006/main" count="875" uniqueCount="108">
  <si>
    <t xml:space="preserve">Parameter Sensitivity of CPG Locomotion Controllers in a Quadruped Robot</t>
  </si>
  <si>
    <t xml:space="preserve">Experiment tracking workbook — 108 conditions x 5 repetitions = 540 trials</t>
  </si>
  <si>
    <t xml:space="preserve">Sheets in this workbook:</t>
  </si>
  <si>
    <t xml:space="preserve">  Trial Log</t>
  </si>
  <si>
    <t xml:space="preserve">All 540 trials, randomized order, one row per trial. Enter results here as you run the experiment.</t>
  </si>
  <si>
    <t xml:space="preserve">  Condition Matrix</t>
  </si>
  <si>
    <t xml:space="preserve">The 108 unique conditions (27 per frequency), for reference and for building charts/pivots.</t>
  </si>
  <si>
    <t xml:space="preserve">  Factors &amp; Levels</t>
  </si>
  <si>
    <t xml:space="preserve">The 4 independent variables and their levels, with the reasoning behind each value.</t>
  </si>
  <si>
    <t xml:space="preserve">The four factors (independent variables):</t>
  </si>
  <si>
    <t xml:space="preserve">  1. Frequency (v)</t>
  </si>
  <si>
    <t xml:space="preserve">0.5, 1.0, 1.5, 2.0 Hz - stepping rate, set in the CPG oscillator equation</t>
  </si>
  <si>
    <t xml:space="preserve">  2. Gait</t>
  </si>
  <si>
    <t xml:space="preserve">Walk, Trot, Pace - sets the phase-bias matrix phi_ij between legs</t>
  </si>
  <si>
    <t xml:space="preserve">  3. Coupling weight (w)</t>
  </si>
  <si>
    <t xml:space="preserve">2, 5, 10 - how strongly legs are pulled back to their target phase</t>
  </si>
  <si>
    <t xml:space="preserve">  4. Terrain gradient</t>
  </si>
  <si>
    <t xml:space="preserve">0, 10, 20 degrees - incline of the test ramp</t>
  </si>
  <si>
    <t xml:space="preserve">4 x 3 x 3 x 3 = 108 conditions. Each condition x 5 repetitions = 540 trials.</t>
  </si>
  <si>
    <t xml:space="preserve">The three dependent variables (what you measure each trial):</t>
  </si>
  <si>
    <t xml:space="preserve">  Stability</t>
  </si>
  <si>
    <t xml:space="preserve">RMS roll/pitch deviation from level (IMU), fall/no-fall flag, and (once FSR sensors are in) support-polygon margin</t>
  </si>
  <si>
    <t xml:space="preserve">  Speed</t>
  </si>
  <si>
    <t xml:space="preserve">Distance / time between IR break-beam gates</t>
  </si>
  <si>
    <t xml:space="preserve">  Energy efficiency</t>
  </si>
  <si>
    <t xml:space="preserve">Cost of Transport = Total Electrical Energy / (mass x g x distance)</t>
  </si>
  <si>
    <t xml:space="preserve">How to use the Trial Log:</t>
  </si>
  <si>
    <t xml:space="preserve">  1.</t>
  </si>
  <si>
    <t xml:space="preserve">Run trials in the randomized order given (do NOT run all reps of one condition back to back).</t>
  </si>
  <si>
    <t xml:space="preserve">  2.</t>
  </si>
  <si>
    <t xml:space="preserve">Before each trial, let the CPG run 3-5 cycles from a stationary start before releasing the robot, to skip the startup transient.</t>
  </si>
  <si>
    <t xml:space="preserve">  3.</t>
  </si>
  <si>
    <t xml:space="preserve">Fill in the blue Result columns (Distance, Time, RMS Tilt, Fall?, Energy, Battery V) as you go.</t>
  </si>
  <si>
    <t xml:space="preserve">  4.</t>
  </si>
  <si>
    <t xml:space="preserve">Speed, COT, and Support Margin are calculated automatically from your inputs.</t>
  </si>
  <si>
    <t xml:space="preserve">  5.</t>
  </si>
  <si>
    <t xml:space="preserve">Use the Notes column to flag anything unusual (slip, servo glitch, comms dropout) so you can exclude/rerun later if needed.</t>
  </si>
  <si>
    <t xml:space="preserve">Factors &amp; Levels</t>
  </si>
  <si>
    <t xml:space="preserve">1. Frequency (v) - 4 levels</t>
  </si>
  <si>
    <t xml:space="preserve">Level</t>
  </si>
  <si>
    <t xml:space="preserve">Value</t>
  </si>
  <si>
    <t xml:space="preserve">Notes</t>
  </si>
  <si>
    <t xml:space="preserve">0.5 Hz</t>
  </si>
  <si>
    <t xml:space="preserve">Slowest tested stepping rate</t>
  </si>
  <si>
    <t xml:space="preserve">1.0 Hz</t>
  </si>
  <si>
    <t xml:space="preserve">Baseline mid-range rate</t>
  </si>
  <si>
    <t xml:space="preserve">1.5 Hz</t>
  </si>
  <si>
    <t xml:space="preserve">Fast rate</t>
  </si>
  <si>
    <t xml:space="preserve">2.0 Hz</t>
  </si>
  <si>
    <t xml:space="preserve">Practical ceiling - approaches DS3218 Pro swing-phase speed limit</t>
  </si>
  <si>
    <t xml:space="preserve">2. Gait - 3 levels (phase bias, fraction of cycle, FL = reference = 0.00)</t>
  </si>
  <si>
    <t xml:space="preserve">Gait</t>
  </si>
  <si>
    <t xml:space="preserve">Front-Left</t>
  </si>
  <si>
    <t xml:space="preserve">Front-Right</t>
  </si>
  <si>
    <t xml:space="preserve">Hind-Left</t>
  </si>
  <si>
    <t xml:space="preserve">Hind-Right</t>
  </si>
  <si>
    <t xml:space="preserve">Description</t>
  </si>
  <si>
    <t xml:space="preserve">Walk</t>
  </si>
  <si>
    <t xml:space="preserve">Statically stable, sequential leg gait</t>
  </si>
  <si>
    <t xml:space="preserve">Trot</t>
  </si>
  <si>
    <t xml:space="preserve">Diagonal leg pairs move together</t>
  </si>
  <si>
    <t xml:space="preserve">Pace</t>
  </si>
  <si>
    <t xml:space="preserve">Same-side leg pairs move together</t>
  </si>
  <si>
    <t xml:space="preserve">3. Coupling weight (w) - 3 levels</t>
  </si>
  <si>
    <t xml:space="preserve">Weak coupling - gait pattern can drift/desync under perturbation</t>
  </si>
  <si>
    <t xml:space="preserve">Moderate coupling - comparable to the frequency term at ~1 Hz</t>
  </si>
  <si>
    <t xml:space="preserve">Strong coupling - gait pattern held rigidly against perturbation</t>
  </si>
  <si>
    <t xml:space="preserve">4. Terrain gradient - 3 levels</t>
  </si>
  <si>
    <t xml:space="preserve">0 deg</t>
  </si>
  <si>
    <t xml:space="preserve">Flat ground baseline</t>
  </si>
  <si>
    <t xml:space="preserve">10 deg</t>
  </si>
  <si>
    <t xml:space="preserve">Moderate incline</t>
  </si>
  <si>
    <t xml:space="preserve">20 deg</t>
  </si>
  <si>
    <t xml:space="preserve">Steep incline - stress test for stability/coupling</t>
  </si>
  <si>
    <t xml:space="preserve">4 x 3 x 3 x 3 = 108 conditions x 5 repetitions = 540 trials</t>
  </si>
  <si>
    <t xml:space="preserve">Condition Matrix - 108 unique parameter combinations</t>
  </si>
  <si>
    <t xml:space="preserve">Condition #</t>
  </si>
  <si>
    <t xml:space="preserve">Frequency (Hz)</t>
  </si>
  <si>
    <t xml:space="preserve">Coupling weight (w)</t>
  </si>
  <si>
    <t xml:space="preserve">Terrain (deg)</t>
  </si>
  <si>
    <t xml:space="preserve">Trials for this condition</t>
  </si>
  <si>
    <t xml:space="preserve">5 (see Trial Log)</t>
  </si>
  <si>
    <t xml:space="preserve">Trial Log - 540 trials (108 conditions x 5 repetitions)</t>
  </si>
  <si>
    <t xml:space="preserve">Blue cells = enter your data. Black cells = calculated automatically. Run in Run Order (already randomized) - do not run all reps of one condition together.</t>
  </si>
  <si>
    <t xml:space="preserve">Run Order</t>
  </si>
  <si>
    <t xml:space="preserve">Trial ID</t>
  </si>
  <si>
    <t xml:space="preserve">Rep #</t>
  </si>
  <si>
    <t xml:space="preserve">Coupling (w)</t>
  </si>
  <si>
    <t xml:space="preserve">Distance (m)</t>
  </si>
  <si>
    <t xml:space="preserve">Time (s)</t>
  </si>
  <si>
    <t xml:space="preserve">Speed (m/s)</t>
  </si>
  <si>
    <t xml:space="preserve">RMS Tilt (deg)</t>
  </si>
  <si>
    <t xml:space="preserve">Fall? (Y/N)</t>
  </si>
  <si>
    <t xml:space="preserve">Energy (J)</t>
  </si>
  <si>
    <t xml:space="preserve">Robot Mass (kg)</t>
  </si>
  <si>
    <t xml:space="preserve">COT</t>
  </si>
  <si>
    <t xml:space="preserve">Battery V (start)</t>
  </si>
  <si>
    <t xml:space="preserve">Analysis Notes</t>
  </si>
  <si>
    <t xml:space="preserve">Independent variables (factors):</t>
  </si>
  <si>
    <t xml:space="preserve">Frequency, Gait, Coupling weight, Terrain gradient - 4 columns in Trial Log</t>
  </si>
  <si>
    <t xml:space="preserve">Dependent variables:</t>
  </si>
  <si>
    <t xml:space="preserve">Speed (calculated), COT (calculated), RMS Tilt (entered), Fall? (entered)</t>
  </si>
  <si>
    <t xml:space="preserve">Recommended analysis:</t>
  </si>
  <si>
    <t xml:space="preserve">4-way ANOVA (or mixed model) per dependent variable, using Frequency/Gait/Coupling/Terrain as factors and the 5 reps as replicates within each condition.</t>
  </si>
  <si>
    <t xml:space="preserve">Before analysis:</t>
  </si>
  <si>
    <t xml:space="preserve">Check the Notes column for any trials flagged with equipment issues and decide whether to exclude/rerun them.</t>
  </si>
  <si>
    <t xml:space="preserve">Pivot tables:</t>
  </si>
  <si>
    <t xml:space="preserve">Build PivotTables from the Trial Log sheet (A4:R544) with Gait/Coupling/Terrain/Frequency as rows and AVERAGE of Speed/COT/RMS Tilt as values, to spot interaction effects before running formal stats.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</si>
</sst>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B"/>
        <bgColor rgb="FFFFFFFF"/>
      </patternFill>
    </fill>
    <fill>
      <patternFill patternType="solid">
        <fgColor rgb="FFFFFFFF"/>
        <bgColor rgb="FFF2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9"/>
      <rgbColor rgb="FF777777"/>
      <rgbColor rgb="FF9999FF"/>
      <rgbColor rgb="FF993366"/>
      <rgbColor rgb="FFFFF2CC"/>
      <rgbColor rgb="FFF2F6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  <col collapsed="false" customWidth="true" hidden="false" outlineLevel="0" max="3" min="3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23.85" hidden="false" customHeight="false" outlineLevel="0" collapsed="false">
      <c r="B6" s="5" t="s">
        <v>3</v>
      </c>
      <c r="C6" s="6" t="s">
        <v>4</v>
      </c>
    </row>
    <row r="7" customFormat="false" ht="23.85" hidden="false" customHeight="false" outlineLevel="0" collapsed="false">
      <c r="B7" s="5" t="s">
        <v>5</v>
      </c>
      <c r="C7" s="6" t="s">
        <v>6</v>
      </c>
    </row>
    <row r="8" customFormat="false" ht="15" hidden="false" customHeight="false" outlineLevel="0" collapsed="false">
      <c r="B8" s="5" t="s">
        <v>7</v>
      </c>
      <c r="C8" s="6" t="s">
        <v>8</v>
      </c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B10" s="4" t="s">
        <v>9</v>
      </c>
    </row>
    <row r="11" customFormat="false" ht="15" hidden="false" customHeight="false" outlineLevel="0" collapsed="false">
      <c r="B11" s="5" t="s">
        <v>10</v>
      </c>
      <c r="C11" s="6" t="s">
        <v>11</v>
      </c>
    </row>
    <row r="12" customFormat="false" ht="15" hidden="false" customHeight="false" outlineLevel="0" collapsed="false">
      <c r="B12" s="5" t="s">
        <v>12</v>
      </c>
      <c r="C12" s="6" t="s">
        <v>13</v>
      </c>
    </row>
    <row r="13" customFormat="false" ht="15" hidden="false" customHeight="false" outlineLevel="0" collapsed="false">
      <c r="B13" s="5" t="s">
        <v>14</v>
      </c>
      <c r="C13" s="6" t="s">
        <v>15</v>
      </c>
    </row>
    <row r="14" customFormat="false" ht="15" hidden="false" customHeight="false" outlineLevel="0" collapsed="false">
      <c r="B14" s="5" t="s">
        <v>16</v>
      </c>
      <c r="C14" s="6" t="s">
        <v>17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7" t="s">
        <v>18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4" t="s">
        <v>19</v>
      </c>
    </row>
    <row r="19" customFormat="false" ht="23.85" hidden="false" customHeight="false" outlineLevel="0" collapsed="false">
      <c r="B19" s="5" t="s">
        <v>20</v>
      </c>
      <c r="C19" s="6" t="s">
        <v>21</v>
      </c>
    </row>
    <row r="20" customFormat="false" ht="15" hidden="false" customHeight="false" outlineLevel="0" collapsed="false">
      <c r="B20" s="5" t="s">
        <v>22</v>
      </c>
      <c r="C20" s="6" t="s">
        <v>23</v>
      </c>
    </row>
    <row r="21" customFormat="false" ht="15" hidden="false" customHeight="false" outlineLevel="0" collapsed="false">
      <c r="B21" s="5" t="s">
        <v>24</v>
      </c>
      <c r="C21" s="6" t="s">
        <v>25</v>
      </c>
    </row>
    <row r="22" customFormat="false" ht="15" hidden="false" customHeight="false" outlineLevel="0" collapsed="false">
      <c r="B22" s="3"/>
    </row>
    <row r="23" customFormat="false" ht="15" hidden="false" customHeight="false" outlineLevel="0" collapsed="false">
      <c r="B23" s="4" t="s">
        <v>26</v>
      </c>
    </row>
    <row r="24" customFormat="false" ht="23.85" hidden="false" customHeight="false" outlineLevel="0" collapsed="false">
      <c r="B24" s="5" t="s">
        <v>27</v>
      </c>
      <c r="C24" s="6" t="s">
        <v>28</v>
      </c>
    </row>
    <row r="25" customFormat="false" ht="23.85" hidden="false" customHeight="false" outlineLevel="0" collapsed="false">
      <c r="B25" s="5" t="s">
        <v>29</v>
      </c>
      <c r="C25" s="6" t="s">
        <v>30</v>
      </c>
    </row>
    <row r="26" customFormat="false" ht="23.85" hidden="false" customHeight="false" outlineLevel="0" collapsed="false">
      <c r="B26" s="5" t="s">
        <v>31</v>
      </c>
      <c r="C26" s="6" t="s">
        <v>32</v>
      </c>
    </row>
    <row r="27" customFormat="false" ht="15" hidden="false" customHeight="false" outlineLevel="0" collapsed="false">
      <c r="B27" s="5" t="s">
        <v>33</v>
      </c>
      <c r="C27" s="6" t="s">
        <v>34</v>
      </c>
    </row>
    <row r="28" customFormat="false" ht="23.85" hidden="false" customHeight="false" outlineLevel="0" collapsed="false">
      <c r="B28" s="5" t="s">
        <v>35</v>
      </c>
      <c r="C28" s="6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5" min="4" style="0" width="12"/>
    <col collapsed="false" customWidth="true" hidden="false" outlineLevel="0" max="6" min="6" style="0" width="50"/>
  </cols>
  <sheetData>
    <row r="1" customFormat="false" ht="19.7" hidden="false" customHeight="false" outlineLevel="0" collapsed="false">
      <c r="A1" s="8" t="s">
        <v>37</v>
      </c>
      <c r="B1" s="8"/>
      <c r="C1" s="8"/>
      <c r="D1" s="8"/>
    </row>
    <row r="3" customFormat="false" ht="15" hidden="false" customHeight="false" outlineLevel="0" collapsed="false">
      <c r="A3" s="9" t="s">
        <v>38</v>
      </c>
    </row>
    <row r="4" customFormat="false" ht="15" hidden="false" customHeight="false" outlineLevel="0" collapsed="false">
      <c r="A4" s="10" t="s">
        <v>39</v>
      </c>
      <c r="B4" s="10" t="s">
        <v>40</v>
      </c>
      <c r="C4" s="10" t="s">
        <v>41</v>
      </c>
    </row>
    <row r="5" customFormat="false" ht="15" hidden="false" customHeight="false" outlineLevel="0" collapsed="false">
      <c r="A5" s="11" t="n">
        <v>1</v>
      </c>
      <c r="B5" s="12" t="s">
        <v>42</v>
      </c>
      <c r="C5" s="12" t="s">
        <v>43</v>
      </c>
    </row>
    <row r="6" customFormat="false" ht="15" hidden="false" customHeight="false" outlineLevel="0" collapsed="false">
      <c r="A6" s="13" t="n">
        <v>2</v>
      </c>
      <c r="B6" s="14" t="s">
        <v>44</v>
      </c>
      <c r="C6" s="14" t="s">
        <v>45</v>
      </c>
    </row>
    <row r="7" customFormat="false" ht="15" hidden="false" customHeight="false" outlineLevel="0" collapsed="false">
      <c r="A7" s="11" t="n">
        <v>3</v>
      </c>
      <c r="B7" s="12" t="s">
        <v>46</v>
      </c>
      <c r="C7" s="12" t="s">
        <v>47</v>
      </c>
    </row>
    <row r="8" customFormat="false" ht="15" hidden="false" customHeight="false" outlineLevel="0" collapsed="false">
      <c r="A8" s="13" t="n">
        <v>4</v>
      </c>
      <c r="B8" s="14" t="s">
        <v>48</v>
      </c>
      <c r="C8" s="14" t="s">
        <v>49</v>
      </c>
    </row>
    <row r="11" customFormat="false" ht="15" hidden="false" customHeight="false" outlineLevel="0" collapsed="false">
      <c r="A11" s="9" t="s">
        <v>50</v>
      </c>
    </row>
    <row r="12" customFormat="false" ht="15" hidden="false" customHeight="false" outlineLevel="0" collapsed="false">
      <c r="A12" s="10" t="s">
        <v>51</v>
      </c>
      <c r="B12" s="10" t="s">
        <v>52</v>
      </c>
      <c r="C12" s="10" t="s">
        <v>53</v>
      </c>
      <c r="D12" s="10" t="s">
        <v>54</v>
      </c>
      <c r="E12" s="10" t="s">
        <v>55</v>
      </c>
      <c r="F12" s="10" t="s">
        <v>56</v>
      </c>
    </row>
    <row r="13" customFormat="false" ht="15" hidden="false" customHeight="false" outlineLevel="0" collapsed="false">
      <c r="A13" s="11" t="s">
        <v>57</v>
      </c>
      <c r="B13" s="12" t="n">
        <v>0</v>
      </c>
      <c r="C13" s="12" t="n">
        <v>0.5</v>
      </c>
      <c r="D13" s="12" t="n">
        <v>0.25</v>
      </c>
      <c r="E13" s="12" t="n">
        <v>0.75</v>
      </c>
      <c r="F13" s="12" t="s">
        <v>58</v>
      </c>
    </row>
    <row r="14" customFormat="false" ht="15" hidden="false" customHeight="false" outlineLevel="0" collapsed="false">
      <c r="A14" s="13" t="s">
        <v>59</v>
      </c>
      <c r="B14" s="14" t="n">
        <v>0</v>
      </c>
      <c r="C14" s="14" t="n">
        <v>0.5</v>
      </c>
      <c r="D14" s="14" t="n">
        <v>0.5</v>
      </c>
      <c r="E14" s="14" t="n">
        <v>0</v>
      </c>
      <c r="F14" s="14" t="s">
        <v>60</v>
      </c>
    </row>
    <row r="15" customFormat="false" ht="15" hidden="false" customHeight="false" outlineLevel="0" collapsed="false">
      <c r="A15" s="11" t="s">
        <v>61</v>
      </c>
      <c r="B15" s="12" t="n">
        <v>0</v>
      </c>
      <c r="C15" s="12" t="n">
        <v>0.5</v>
      </c>
      <c r="D15" s="12" t="n">
        <v>0</v>
      </c>
      <c r="E15" s="12" t="n">
        <v>0.5</v>
      </c>
      <c r="F15" s="12" t="s">
        <v>62</v>
      </c>
    </row>
    <row r="18" customFormat="false" ht="15" hidden="false" customHeight="false" outlineLevel="0" collapsed="false">
      <c r="A18" s="9" t="s">
        <v>63</v>
      </c>
    </row>
    <row r="19" customFormat="false" ht="15" hidden="false" customHeight="false" outlineLevel="0" collapsed="false">
      <c r="A19" s="10" t="s">
        <v>39</v>
      </c>
      <c r="B19" s="10" t="s">
        <v>40</v>
      </c>
      <c r="C19" s="10" t="s">
        <v>41</v>
      </c>
    </row>
    <row r="20" customFormat="false" ht="15" hidden="false" customHeight="false" outlineLevel="0" collapsed="false">
      <c r="A20" s="11" t="n">
        <v>1</v>
      </c>
      <c r="B20" s="12" t="n">
        <v>2</v>
      </c>
      <c r="C20" s="12" t="s">
        <v>64</v>
      </c>
    </row>
    <row r="21" customFormat="false" ht="15" hidden="false" customHeight="false" outlineLevel="0" collapsed="false">
      <c r="A21" s="13" t="n">
        <v>2</v>
      </c>
      <c r="B21" s="14" t="n">
        <v>5</v>
      </c>
      <c r="C21" s="14" t="s">
        <v>65</v>
      </c>
    </row>
    <row r="22" customFormat="false" ht="15" hidden="false" customHeight="false" outlineLevel="0" collapsed="false">
      <c r="A22" s="11" t="n">
        <v>3</v>
      </c>
      <c r="B22" s="12" t="n">
        <v>10</v>
      </c>
      <c r="C22" s="12" t="s">
        <v>66</v>
      </c>
    </row>
    <row r="25" customFormat="false" ht="15" hidden="false" customHeight="false" outlineLevel="0" collapsed="false">
      <c r="A25" s="9" t="s">
        <v>67</v>
      </c>
    </row>
    <row r="26" customFormat="false" ht="15" hidden="false" customHeight="false" outlineLevel="0" collapsed="false">
      <c r="A26" s="10" t="s">
        <v>39</v>
      </c>
      <c r="B26" s="10" t="s">
        <v>40</v>
      </c>
      <c r="C26" s="10" t="s">
        <v>41</v>
      </c>
    </row>
    <row r="27" customFormat="false" ht="15" hidden="false" customHeight="false" outlineLevel="0" collapsed="false">
      <c r="A27" s="11" t="n">
        <v>1</v>
      </c>
      <c r="B27" s="12" t="s">
        <v>68</v>
      </c>
      <c r="C27" s="12" t="s">
        <v>69</v>
      </c>
    </row>
    <row r="28" customFormat="false" ht="15" hidden="false" customHeight="false" outlineLevel="0" collapsed="false">
      <c r="A28" s="13" t="n">
        <v>2</v>
      </c>
      <c r="B28" s="14" t="s">
        <v>70</v>
      </c>
      <c r="C28" s="14" t="s">
        <v>71</v>
      </c>
    </row>
    <row r="29" customFormat="false" ht="15" hidden="false" customHeight="false" outlineLevel="0" collapsed="false">
      <c r="A29" s="11" t="n">
        <v>3</v>
      </c>
      <c r="B29" s="12" t="s">
        <v>72</v>
      </c>
      <c r="C29" s="12" t="s">
        <v>73</v>
      </c>
    </row>
    <row r="32" customFormat="false" ht="15" hidden="false" customHeight="false" outlineLevel="0" collapsed="false">
      <c r="A32" s="9" t="s">
        <v>74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2"/>
  </cols>
  <sheetData>
    <row r="1" customFormat="false" ht="19.7" hidden="false" customHeight="false" outlineLevel="0" collapsed="false">
      <c r="A1" s="8" t="s">
        <v>75</v>
      </c>
      <c r="B1" s="8"/>
      <c r="C1" s="8"/>
      <c r="D1" s="8"/>
      <c r="E1" s="8"/>
      <c r="F1" s="8"/>
    </row>
    <row r="2" customFormat="false" ht="26.85" hidden="false" customHeight="false" outlineLevel="0" collapsed="false">
      <c r="A2" s="10" t="s">
        <v>76</v>
      </c>
      <c r="B2" s="10" t="s">
        <v>77</v>
      </c>
      <c r="C2" s="10" t="s">
        <v>51</v>
      </c>
      <c r="D2" s="10" t="s">
        <v>78</v>
      </c>
      <c r="E2" s="10" t="s">
        <v>79</v>
      </c>
      <c r="F2" s="10" t="s">
        <v>80</v>
      </c>
    </row>
    <row r="3" customFormat="false" ht="15" hidden="false" customHeight="false" outlineLevel="0" collapsed="false">
      <c r="A3" s="11" t="n">
        <v>1</v>
      </c>
      <c r="B3" s="11" t="n">
        <v>0.5</v>
      </c>
      <c r="C3" s="11" t="s">
        <v>57</v>
      </c>
      <c r="D3" s="11" t="n">
        <v>2</v>
      </c>
      <c r="E3" s="11" t="n">
        <v>0</v>
      </c>
      <c r="F3" s="11" t="s">
        <v>81</v>
      </c>
    </row>
    <row r="4" customFormat="false" ht="15" hidden="false" customHeight="false" outlineLevel="0" collapsed="false">
      <c r="A4" s="13" t="n">
        <v>2</v>
      </c>
      <c r="B4" s="13" t="n">
        <v>0.5</v>
      </c>
      <c r="C4" s="13" t="s">
        <v>57</v>
      </c>
      <c r="D4" s="13" t="n">
        <v>2</v>
      </c>
      <c r="E4" s="13" t="n">
        <v>10</v>
      </c>
      <c r="F4" s="13" t="s">
        <v>81</v>
      </c>
    </row>
    <row r="5" customFormat="false" ht="15" hidden="false" customHeight="false" outlineLevel="0" collapsed="false">
      <c r="A5" s="11" t="n">
        <v>3</v>
      </c>
      <c r="B5" s="11" t="n">
        <v>0.5</v>
      </c>
      <c r="C5" s="11" t="s">
        <v>57</v>
      </c>
      <c r="D5" s="11" t="n">
        <v>2</v>
      </c>
      <c r="E5" s="11" t="n">
        <v>20</v>
      </c>
      <c r="F5" s="11" t="s">
        <v>81</v>
      </c>
    </row>
    <row r="6" customFormat="false" ht="15" hidden="false" customHeight="false" outlineLevel="0" collapsed="false">
      <c r="A6" s="13" t="n">
        <v>4</v>
      </c>
      <c r="B6" s="13" t="n">
        <v>0.5</v>
      </c>
      <c r="C6" s="13" t="s">
        <v>57</v>
      </c>
      <c r="D6" s="13" t="n">
        <v>5</v>
      </c>
      <c r="E6" s="13" t="n">
        <v>0</v>
      </c>
      <c r="F6" s="13" t="s">
        <v>81</v>
      </c>
    </row>
    <row r="7" customFormat="false" ht="15" hidden="false" customHeight="false" outlineLevel="0" collapsed="false">
      <c r="A7" s="11" t="n">
        <v>5</v>
      </c>
      <c r="B7" s="11" t="n">
        <v>0.5</v>
      </c>
      <c r="C7" s="11" t="s">
        <v>57</v>
      </c>
      <c r="D7" s="11" t="n">
        <v>5</v>
      </c>
      <c r="E7" s="11" t="n">
        <v>10</v>
      </c>
      <c r="F7" s="11" t="s">
        <v>81</v>
      </c>
    </row>
    <row r="8" customFormat="false" ht="15" hidden="false" customHeight="false" outlineLevel="0" collapsed="false">
      <c r="A8" s="13" t="n">
        <v>6</v>
      </c>
      <c r="B8" s="13" t="n">
        <v>0.5</v>
      </c>
      <c r="C8" s="13" t="s">
        <v>57</v>
      </c>
      <c r="D8" s="13" t="n">
        <v>5</v>
      </c>
      <c r="E8" s="13" t="n">
        <v>20</v>
      </c>
      <c r="F8" s="13" t="s">
        <v>81</v>
      </c>
    </row>
    <row r="9" customFormat="false" ht="15" hidden="false" customHeight="false" outlineLevel="0" collapsed="false">
      <c r="A9" s="11" t="n">
        <v>7</v>
      </c>
      <c r="B9" s="11" t="n">
        <v>0.5</v>
      </c>
      <c r="C9" s="11" t="s">
        <v>57</v>
      </c>
      <c r="D9" s="11" t="n">
        <v>10</v>
      </c>
      <c r="E9" s="11" t="n">
        <v>0</v>
      </c>
      <c r="F9" s="11" t="s">
        <v>81</v>
      </c>
    </row>
    <row r="10" customFormat="false" ht="15" hidden="false" customHeight="false" outlineLevel="0" collapsed="false">
      <c r="A10" s="13" t="n">
        <v>8</v>
      </c>
      <c r="B10" s="13" t="n">
        <v>0.5</v>
      </c>
      <c r="C10" s="13" t="s">
        <v>57</v>
      </c>
      <c r="D10" s="13" t="n">
        <v>10</v>
      </c>
      <c r="E10" s="13" t="n">
        <v>10</v>
      </c>
      <c r="F10" s="13" t="s">
        <v>81</v>
      </c>
    </row>
    <row r="11" customFormat="false" ht="15" hidden="false" customHeight="false" outlineLevel="0" collapsed="false">
      <c r="A11" s="11" t="n">
        <v>9</v>
      </c>
      <c r="B11" s="11" t="n">
        <v>0.5</v>
      </c>
      <c r="C11" s="11" t="s">
        <v>57</v>
      </c>
      <c r="D11" s="11" t="n">
        <v>10</v>
      </c>
      <c r="E11" s="11" t="n">
        <v>20</v>
      </c>
      <c r="F11" s="11" t="s">
        <v>81</v>
      </c>
    </row>
    <row r="12" customFormat="false" ht="15" hidden="false" customHeight="false" outlineLevel="0" collapsed="false">
      <c r="A12" s="13" t="n">
        <v>10</v>
      </c>
      <c r="B12" s="13" t="n">
        <v>0.5</v>
      </c>
      <c r="C12" s="13" t="s">
        <v>59</v>
      </c>
      <c r="D12" s="13" t="n">
        <v>2</v>
      </c>
      <c r="E12" s="13" t="n">
        <v>0</v>
      </c>
      <c r="F12" s="13" t="s">
        <v>81</v>
      </c>
    </row>
    <row r="13" customFormat="false" ht="15" hidden="false" customHeight="false" outlineLevel="0" collapsed="false">
      <c r="A13" s="11" t="n">
        <v>11</v>
      </c>
      <c r="B13" s="11" t="n">
        <v>0.5</v>
      </c>
      <c r="C13" s="11" t="s">
        <v>59</v>
      </c>
      <c r="D13" s="11" t="n">
        <v>2</v>
      </c>
      <c r="E13" s="11" t="n">
        <v>10</v>
      </c>
      <c r="F13" s="11" t="s">
        <v>81</v>
      </c>
    </row>
    <row r="14" customFormat="false" ht="15" hidden="false" customHeight="false" outlineLevel="0" collapsed="false">
      <c r="A14" s="13" t="n">
        <v>12</v>
      </c>
      <c r="B14" s="13" t="n">
        <v>0.5</v>
      </c>
      <c r="C14" s="13" t="s">
        <v>59</v>
      </c>
      <c r="D14" s="13" t="n">
        <v>2</v>
      </c>
      <c r="E14" s="13" t="n">
        <v>20</v>
      </c>
      <c r="F14" s="13" t="s">
        <v>81</v>
      </c>
    </row>
    <row r="15" customFormat="false" ht="15" hidden="false" customHeight="false" outlineLevel="0" collapsed="false">
      <c r="A15" s="11" t="n">
        <v>13</v>
      </c>
      <c r="B15" s="11" t="n">
        <v>0.5</v>
      </c>
      <c r="C15" s="11" t="s">
        <v>59</v>
      </c>
      <c r="D15" s="11" t="n">
        <v>5</v>
      </c>
      <c r="E15" s="11" t="n">
        <v>0</v>
      </c>
      <c r="F15" s="11" t="s">
        <v>81</v>
      </c>
    </row>
    <row r="16" customFormat="false" ht="15" hidden="false" customHeight="false" outlineLevel="0" collapsed="false">
      <c r="A16" s="13" t="n">
        <v>14</v>
      </c>
      <c r="B16" s="13" t="n">
        <v>0.5</v>
      </c>
      <c r="C16" s="13" t="s">
        <v>59</v>
      </c>
      <c r="D16" s="13" t="n">
        <v>5</v>
      </c>
      <c r="E16" s="13" t="n">
        <v>10</v>
      </c>
      <c r="F16" s="13" t="s">
        <v>81</v>
      </c>
    </row>
    <row r="17" customFormat="false" ht="15" hidden="false" customHeight="false" outlineLevel="0" collapsed="false">
      <c r="A17" s="11" t="n">
        <v>15</v>
      </c>
      <c r="B17" s="11" t="n">
        <v>0.5</v>
      </c>
      <c r="C17" s="11" t="s">
        <v>59</v>
      </c>
      <c r="D17" s="11" t="n">
        <v>5</v>
      </c>
      <c r="E17" s="11" t="n">
        <v>20</v>
      </c>
      <c r="F17" s="11" t="s">
        <v>81</v>
      </c>
    </row>
    <row r="18" customFormat="false" ht="15" hidden="false" customHeight="false" outlineLevel="0" collapsed="false">
      <c r="A18" s="13" t="n">
        <v>16</v>
      </c>
      <c r="B18" s="13" t="n">
        <v>0.5</v>
      </c>
      <c r="C18" s="13" t="s">
        <v>59</v>
      </c>
      <c r="D18" s="13" t="n">
        <v>10</v>
      </c>
      <c r="E18" s="13" t="n">
        <v>0</v>
      </c>
      <c r="F18" s="13" t="s">
        <v>81</v>
      </c>
    </row>
    <row r="19" customFormat="false" ht="15" hidden="false" customHeight="false" outlineLevel="0" collapsed="false">
      <c r="A19" s="11" t="n">
        <v>17</v>
      </c>
      <c r="B19" s="11" t="n">
        <v>0.5</v>
      </c>
      <c r="C19" s="11" t="s">
        <v>59</v>
      </c>
      <c r="D19" s="11" t="n">
        <v>10</v>
      </c>
      <c r="E19" s="11" t="n">
        <v>10</v>
      </c>
      <c r="F19" s="11" t="s">
        <v>81</v>
      </c>
    </row>
    <row r="20" customFormat="false" ht="15" hidden="false" customHeight="false" outlineLevel="0" collapsed="false">
      <c r="A20" s="13" t="n">
        <v>18</v>
      </c>
      <c r="B20" s="13" t="n">
        <v>0.5</v>
      </c>
      <c r="C20" s="13" t="s">
        <v>59</v>
      </c>
      <c r="D20" s="13" t="n">
        <v>10</v>
      </c>
      <c r="E20" s="13" t="n">
        <v>20</v>
      </c>
      <c r="F20" s="13" t="s">
        <v>81</v>
      </c>
    </row>
    <row r="21" customFormat="false" ht="15" hidden="false" customHeight="false" outlineLevel="0" collapsed="false">
      <c r="A21" s="11" t="n">
        <v>19</v>
      </c>
      <c r="B21" s="11" t="n">
        <v>0.5</v>
      </c>
      <c r="C21" s="11" t="s">
        <v>61</v>
      </c>
      <c r="D21" s="11" t="n">
        <v>2</v>
      </c>
      <c r="E21" s="11" t="n">
        <v>0</v>
      </c>
      <c r="F21" s="11" t="s">
        <v>81</v>
      </c>
    </row>
    <row r="22" customFormat="false" ht="15" hidden="false" customHeight="false" outlineLevel="0" collapsed="false">
      <c r="A22" s="13" t="n">
        <v>20</v>
      </c>
      <c r="B22" s="13" t="n">
        <v>0.5</v>
      </c>
      <c r="C22" s="13" t="s">
        <v>61</v>
      </c>
      <c r="D22" s="13" t="n">
        <v>2</v>
      </c>
      <c r="E22" s="13" t="n">
        <v>10</v>
      </c>
      <c r="F22" s="13" t="s">
        <v>81</v>
      </c>
    </row>
    <row r="23" customFormat="false" ht="15" hidden="false" customHeight="false" outlineLevel="0" collapsed="false">
      <c r="A23" s="11" t="n">
        <v>21</v>
      </c>
      <c r="B23" s="11" t="n">
        <v>0.5</v>
      </c>
      <c r="C23" s="11" t="s">
        <v>61</v>
      </c>
      <c r="D23" s="11" t="n">
        <v>2</v>
      </c>
      <c r="E23" s="11" t="n">
        <v>20</v>
      </c>
      <c r="F23" s="11" t="s">
        <v>81</v>
      </c>
    </row>
    <row r="24" customFormat="false" ht="15" hidden="false" customHeight="false" outlineLevel="0" collapsed="false">
      <c r="A24" s="13" t="n">
        <v>22</v>
      </c>
      <c r="B24" s="13" t="n">
        <v>0.5</v>
      </c>
      <c r="C24" s="13" t="s">
        <v>61</v>
      </c>
      <c r="D24" s="13" t="n">
        <v>5</v>
      </c>
      <c r="E24" s="13" t="n">
        <v>0</v>
      </c>
      <c r="F24" s="13" t="s">
        <v>81</v>
      </c>
    </row>
    <row r="25" customFormat="false" ht="15" hidden="false" customHeight="false" outlineLevel="0" collapsed="false">
      <c r="A25" s="11" t="n">
        <v>23</v>
      </c>
      <c r="B25" s="11" t="n">
        <v>0.5</v>
      </c>
      <c r="C25" s="11" t="s">
        <v>61</v>
      </c>
      <c r="D25" s="11" t="n">
        <v>5</v>
      </c>
      <c r="E25" s="11" t="n">
        <v>10</v>
      </c>
      <c r="F25" s="11" t="s">
        <v>81</v>
      </c>
    </row>
    <row r="26" customFormat="false" ht="15" hidden="false" customHeight="false" outlineLevel="0" collapsed="false">
      <c r="A26" s="13" t="n">
        <v>24</v>
      </c>
      <c r="B26" s="13" t="n">
        <v>0.5</v>
      </c>
      <c r="C26" s="13" t="s">
        <v>61</v>
      </c>
      <c r="D26" s="13" t="n">
        <v>5</v>
      </c>
      <c r="E26" s="13" t="n">
        <v>20</v>
      </c>
      <c r="F26" s="13" t="s">
        <v>81</v>
      </c>
    </row>
    <row r="27" customFormat="false" ht="15" hidden="false" customHeight="false" outlineLevel="0" collapsed="false">
      <c r="A27" s="11" t="n">
        <v>25</v>
      </c>
      <c r="B27" s="11" t="n">
        <v>0.5</v>
      </c>
      <c r="C27" s="11" t="s">
        <v>61</v>
      </c>
      <c r="D27" s="11" t="n">
        <v>10</v>
      </c>
      <c r="E27" s="11" t="n">
        <v>0</v>
      </c>
      <c r="F27" s="11" t="s">
        <v>81</v>
      </c>
    </row>
    <row r="28" customFormat="false" ht="15" hidden="false" customHeight="false" outlineLevel="0" collapsed="false">
      <c r="A28" s="13" t="n">
        <v>26</v>
      </c>
      <c r="B28" s="13" t="n">
        <v>0.5</v>
      </c>
      <c r="C28" s="13" t="s">
        <v>61</v>
      </c>
      <c r="D28" s="13" t="n">
        <v>10</v>
      </c>
      <c r="E28" s="13" t="n">
        <v>10</v>
      </c>
      <c r="F28" s="13" t="s">
        <v>81</v>
      </c>
    </row>
    <row r="29" customFormat="false" ht="15" hidden="false" customHeight="false" outlineLevel="0" collapsed="false">
      <c r="A29" s="11" t="n">
        <v>27</v>
      </c>
      <c r="B29" s="11" t="n">
        <v>0.5</v>
      </c>
      <c r="C29" s="11" t="s">
        <v>61</v>
      </c>
      <c r="D29" s="11" t="n">
        <v>10</v>
      </c>
      <c r="E29" s="11" t="n">
        <v>20</v>
      </c>
      <c r="F29" s="11" t="s">
        <v>81</v>
      </c>
    </row>
    <row r="30" customFormat="false" ht="15" hidden="false" customHeight="false" outlineLevel="0" collapsed="false">
      <c r="A30" s="13" t="n">
        <v>28</v>
      </c>
      <c r="B30" s="13" t="n">
        <v>1</v>
      </c>
      <c r="C30" s="13" t="s">
        <v>57</v>
      </c>
      <c r="D30" s="13" t="n">
        <v>2</v>
      </c>
      <c r="E30" s="13" t="n">
        <v>0</v>
      </c>
      <c r="F30" s="13" t="s">
        <v>81</v>
      </c>
    </row>
    <row r="31" customFormat="false" ht="15" hidden="false" customHeight="false" outlineLevel="0" collapsed="false">
      <c r="A31" s="11" t="n">
        <v>29</v>
      </c>
      <c r="B31" s="11" t="n">
        <v>1</v>
      </c>
      <c r="C31" s="11" t="s">
        <v>57</v>
      </c>
      <c r="D31" s="11" t="n">
        <v>2</v>
      </c>
      <c r="E31" s="11" t="n">
        <v>10</v>
      </c>
      <c r="F31" s="11" t="s">
        <v>81</v>
      </c>
    </row>
    <row r="32" customFormat="false" ht="15" hidden="false" customHeight="false" outlineLevel="0" collapsed="false">
      <c r="A32" s="13" t="n">
        <v>30</v>
      </c>
      <c r="B32" s="13" t="n">
        <v>1</v>
      </c>
      <c r="C32" s="13" t="s">
        <v>57</v>
      </c>
      <c r="D32" s="13" t="n">
        <v>2</v>
      </c>
      <c r="E32" s="13" t="n">
        <v>20</v>
      </c>
      <c r="F32" s="13" t="s">
        <v>81</v>
      </c>
    </row>
    <row r="33" customFormat="false" ht="15" hidden="false" customHeight="false" outlineLevel="0" collapsed="false">
      <c r="A33" s="11" t="n">
        <v>31</v>
      </c>
      <c r="B33" s="11" t="n">
        <v>1</v>
      </c>
      <c r="C33" s="11" t="s">
        <v>57</v>
      </c>
      <c r="D33" s="11" t="n">
        <v>5</v>
      </c>
      <c r="E33" s="11" t="n">
        <v>0</v>
      </c>
      <c r="F33" s="11" t="s">
        <v>81</v>
      </c>
    </row>
    <row r="34" customFormat="false" ht="15" hidden="false" customHeight="false" outlineLevel="0" collapsed="false">
      <c r="A34" s="13" t="n">
        <v>32</v>
      </c>
      <c r="B34" s="13" t="n">
        <v>1</v>
      </c>
      <c r="C34" s="13" t="s">
        <v>57</v>
      </c>
      <c r="D34" s="13" t="n">
        <v>5</v>
      </c>
      <c r="E34" s="13" t="n">
        <v>10</v>
      </c>
      <c r="F34" s="13" t="s">
        <v>81</v>
      </c>
    </row>
    <row r="35" customFormat="false" ht="15" hidden="false" customHeight="false" outlineLevel="0" collapsed="false">
      <c r="A35" s="11" t="n">
        <v>33</v>
      </c>
      <c r="B35" s="11" t="n">
        <v>1</v>
      </c>
      <c r="C35" s="11" t="s">
        <v>57</v>
      </c>
      <c r="D35" s="11" t="n">
        <v>5</v>
      </c>
      <c r="E35" s="11" t="n">
        <v>20</v>
      </c>
      <c r="F35" s="11" t="s">
        <v>81</v>
      </c>
    </row>
    <row r="36" customFormat="false" ht="15" hidden="false" customHeight="false" outlineLevel="0" collapsed="false">
      <c r="A36" s="13" t="n">
        <v>34</v>
      </c>
      <c r="B36" s="13" t="n">
        <v>1</v>
      </c>
      <c r="C36" s="13" t="s">
        <v>57</v>
      </c>
      <c r="D36" s="13" t="n">
        <v>10</v>
      </c>
      <c r="E36" s="13" t="n">
        <v>0</v>
      </c>
      <c r="F36" s="13" t="s">
        <v>81</v>
      </c>
    </row>
    <row r="37" customFormat="false" ht="15" hidden="false" customHeight="false" outlineLevel="0" collapsed="false">
      <c r="A37" s="11" t="n">
        <v>35</v>
      </c>
      <c r="B37" s="11" t="n">
        <v>1</v>
      </c>
      <c r="C37" s="11" t="s">
        <v>57</v>
      </c>
      <c r="D37" s="11" t="n">
        <v>10</v>
      </c>
      <c r="E37" s="11" t="n">
        <v>10</v>
      </c>
      <c r="F37" s="11" t="s">
        <v>81</v>
      </c>
    </row>
    <row r="38" customFormat="false" ht="15" hidden="false" customHeight="false" outlineLevel="0" collapsed="false">
      <c r="A38" s="13" t="n">
        <v>36</v>
      </c>
      <c r="B38" s="13" t="n">
        <v>1</v>
      </c>
      <c r="C38" s="13" t="s">
        <v>57</v>
      </c>
      <c r="D38" s="13" t="n">
        <v>10</v>
      </c>
      <c r="E38" s="13" t="n">
        <v>20</v>
      </c>
      <c r="F38" s="13" t="s">
        <v>81</v>
      </c>
    </row>
    <row r="39" customFormat="false" ht="15" hidden="false" customHeight="false" outlineLevel="0" collapsed="false">
      <c r="A39" s="11" t="n">
        <v>37</v>
      </c>
      <c r="B39" s="11" t="n">
        <v>1</v>
      </c>
      <c r="C39" s="11" t="s">
        <v>59</v>
      </c>
      <c r="D39" s="11" t="n">
        <v>2</v>
      </c>
      <c r="E39" s="11" t="n">
        <v>0</v>
      </c>
      <c r="F39" s="11" t="s">
        <v>81</v>
      </c>
    </row>
    <row r="40" customFormat="false" ht="15" hidden="false" customHeight="false" outlineLevel="0" collapsed="false">
      <c r="A40" s="13" t="n">
        <v>38</v>
      </c>
      <c r="B40" s="13" t="n">
        <v>1</v>
      </c>
      <c r="C40" s="13" t="s">
        <v>59</v>
      </c>
      <c r="D40" s="13" t="n">
        <v>2</v>
      </c>
      <c r="E40" s="13" t="n">
        <v>10</v>
      </c>
      <c r="F40" s="13" t="s">
        <v>81</v>
      </c>
    </row>
    <row r="41" customFormat="false" ht="15" hidden="false" customHeight="false" outlineLevel="0" collapsed="false">
      <c r="A41" s="11" t="n">
        <v>39</v>
      </c>
      <c r="B41" s="11" t="n">
        <v>1</v>
      </c>
      <c r="C41" s="11" t="s">
        <v>59</v>
      </c>
      <c r="D41" s="11" t="n">
        <v>2</v>
      </c>
      <c r="E41" s="11" t="n">
        <v>20</v>
      </c>
      <c r="F41" s="11" t="s">
        <v>81</v>
      </c>
    </row>
    <row r="42" customFormat="false" ht="15" hidden="false" customHeight="false" outlineLevel="0" collapsed="false">
      <c r="A42" s="13" t="n">
        <v>40</v>
      </c>
      <c r="B42" s="13" t="n">
        <v>1</v>
      </c>
      <c r="C42" s="13" t="s">
        <v>59</v>
      </c>
      <c r="D42" s="13" t="n">
        <v>5</v>
      </c>
      <c r="E42" s="13" t="n">
        <v>0</v>
      </c>
      <c r="F42" s="13" t="s">
        <v>81</v>
      </c>
    </row>
    <row r="43" customFormat="false" ht="15" hidden="false" customHeight="false" outlineLevel="0" collapsed="false">
      <c r="A43" s="11" t="n">
        <v>41</v>
      </c>
      <c r="B43" s="11" t="n">
        <v>1</v>
      </c>
      <c r="C43" s="11" t="s">
        <v>59</v>
      </c>
      <c r="D43" s="11" t="n">
        <v>5</v>
      </c>
      <c r="E43" s="11" t="n">
        <v>10</v>
      </c>
      <c r="F43" s="11" t="s">
        <v>81</v>
      </c>
    </row>
    <row r="44" customFormat="false" ht="15" hidden="false" customHeight="false" outlineLevel="0" collapsed="false">
      <c r="A44" s="13" t="n">
        <v>42</v>
      </c>
      <c r="B44" s="13" t="n">
        <v>1</v>
      </c>
      <c r="C44" s="13" t="s">
        <v>59</v>
      </c>
      <c r="D44" s="13" t="n">
        <v>5</v>
      </c>
      <c r="E44" s="13" t="n">
        <v>20</v>
      </c>
      <c r="F44" s="13" t="s">
        <v>81</v>
      </c>
    </row>
    <row r="45" customFormat="false" ht="15" hidden="false" customHeight="false" outlineLevel="0" collapsed="false">
      <c r="A45" s="11" t="n">
        <v>43</v>
      </c>
      <c r="B45" s="11" t="n">
        <v>1</v>
      </c>
      <c r="C45" s="11" t="s">
        <v>59</v>
      </c>
      <c r="D45" s="11" t="n">
        <v>10</v>
      </c>
      <c r="E45" s="11" t="n">
        <v>0</v>
      </c>
      <c r="F45" s="11" t="s">
        <v>81</v>
      </c>
    </row>
    <row r="46" customFormat="false" ht="15" hidden="false" customHeight="false" outlineLevel="0" collapsed="false">
      <c r="A46" s="13" t="n">
        <v>44</v>
      </c>
      <c r="B46" s="13" t="n">
        <v>1</v>
      </c>
      <c r="C46" s="13" t="s">
        <v>59</v>
      </c>
      <c r="D46" s="13" t="n">
        <v>10</v>
      </c>
      <c r="E46" s="13" t="n">
        <v>10</v>
      </c>
      <c r="F46" s="13" t="s">
        <v>81</v>
      </c>
    </row>
    <row r="47" customFormat="false" ht="15" hidden="false" customHeight="false" outlineLevel="0" collapsed="false">
      <c r="A47" s="11" t="n">
        <v>45</v>
      </c>
      <c r="B47" s="11" t="n">
        <v>1</v>
      </c>
      <c r="C47" s="11" t="s">
        <v>59</v>
      </c>
      <c r="D47" s="11" t="n">
        <v>10</v>
      </c>
      <c r="E47" s="11" t="n">
        <v>20</v>
      </c>
      <c r="F47" s="11" t="s">
        <v>81</v>
      </c>
    </row>
    <row r="48" customFormat="false" ht="15" hidden="false" customHeight="false" outlineLevel="0" collapsed="false">
      <c r="A48" s="13" t="n">
        <v>46</v>
      </c>
      <c r="B48" s="13" t="n">
        <v>1</v>
      </c>
      <c r="C48" s="13" t="s">
        <v>61</v>
      </c>
      <c r="D48" s="13" t="n">
        <v>2</v>
      </c>
      <c r="E48" s="13" t="n">
        <v>0</v>
      </c>
      <c r="F48" s="13" t="s">
        <v>81</v>
      </c>
    </row>
    <row r="49" customFormat="false" ht="15" hidden="false" customHeight="false" outlineLevel="0" collapsed="false">
      <c r="A49" s="11" t="n">
        <v>47</v>
      </c>
      <c r="B49" s="11" t="n">
        <v>1</v>
      </c>
      <c r="C49" s="11" t="s">
        <v>61</v>
      </c>
      <c r="D49" s="11" t="n">
        <v>2</v>
      </c>
      <c r="E49" s="11" t="n">
        <v>10</v>
      </c>
      <c r="F49" s="11" t="s">
        <v>81</v>
      </c>
    </row>
    <row r="50" customFormat="false" ht="15" hidden="false" customHeight="false" outlineLevel="0" collapsed="false">
      <c r="A50" s="13" t="n">
        <v>48</v>
      </c>
      <c r="B50" s="13" t="n">
        <v>1</v>
      </c>
      <c r="C50" s="13" t="s">
        <v>61</v>
      </c>
      <c r="D50" s="13" t="n">
        <v>2</v>
      </c>
      <c r="E50" s="13" t="n">
        <v>20</v>
      </c>
      <c r="F50" s="13" t="s">
        <v>81</v>
      </c>
    </row>
    <row r="51" customFormat="false" ht="15" hidden="false" customHeight="false" outlineLevel="0" collapsed="false">
      <c r="A51" s="11" t="n">
        <v>49</v>
      </c>
      <c r="B51" s="11" t="n">
        <v>1</v>
      </c>
      <c r="C51" s="11" t="s">
        <v>61</v>
      </c>
      <c r="D51" s="11" t="n">
        <v>5</v>
      </c>
      <c r="E51" s="11" t="n">
        <v>0</v>
      </c>
      <c r="F51" s="11" t="s">
        <v>81</v>
      </c>
    </row>
    <row r="52" customFormat="false" ht="15" hidden="false" customHeight="false" outlineLevel="0" collapsed="false">
      <c r="A52" s="13" t="n">
        <v>50</v>
      </c>
      <c r="B52" s="13" t="n">
        <v>1</v>
      </c>
      <c r="C52" s="13" t="s">
        <v>61</v>
      </c>
      <c r="D52" s="13" t="n">
        <v>5</v>
      </c>
      <c r="E52" s="13" t="n">
        <v>10</v>
      </c>
      <c r="F52" s="13" t="s">
        <v>81</v>
      </c>
    </row>
    <row r="53" customFormat="false" ht="15" hidden="false" customHeight="false" outlineLevel="0" collapsed="false">
      <c r="A53" s="11" t="n">
        <v>51</v>
      </c>
      <c r="B53" s="11" t="n">
        <v>1</v>
      </c>
      <c r="C53" s="11" t="s">
        <v>61</v>
      </c>
      <c r="D53" s="11" t="n">
        <v>5</v>
      </c>
      <c r="E53" s="11" t="n">
        <v>20</v>
      </c>
      <c r="F53" s="11" t="s">
        <v>81</v>
      </c>
    </row>
    <row r="54" customFormat="false" ht="15" hidden="false" customHeight="false" outlineLevel="0" collapsed="false">
      <c r="A54" s="13" t="n">
        <v>52</v>
      </c>
      <c r="B54" s="13" t="n">
        <v>1</v>
      </c>
      <c r="C54" s="13" t="s">
        <v>61</v>
      </c>
      <c r="D54" s="13" t="n">
        <v>10</v>
      </c>
      <c r="E54" s="13" t="n">
        <v>0</v>
      </c>
      <c r="F54" s="13" t="s">
        <v>81</v>
      </c>
    </row>
    <row r="55" customFormat="false" ht="15" hidden="false" customHeight="false" outlineLevel="0" collapsed="false">
      <c r="A55" s="11" t="n">
        <v>53</v>
      </c>
      <c r="B55" s="11" t="n">
        <v>1</v>
      </c>
      <c r="C55" s="11" t="s">
        <v>61</v>
      </c>
      <c r="D55" s="11" t="n">
        <v>10</v>
      </c>
      <c r="E55" s="11" t="n">
        <v>10</v>
      </c>
      <c r="F55" s="11" t="s">
        <v>81</v>
      </c>
    </row>
    <row r="56" customFormat="false" ht="15" hidden="false" customHeight="false" outlineLevel="0" collapsed="false">
      <c r="A56" s="13" t="n">
        <v>54</v>
      </c>
      <c r="B56" s="13" t="n">
        <v>1</v>
      </c>
      <c r="C56" s="13" t="s">
        <v>61</v>
      </c>
      <c r="D56" s="13" t="n">
        <v>10</v>
      </c>
      <c r="E56" s="13" t="n">
        <v>20</v>
      </c>
      <c r="F56" s="13" t="s">
        <v>81</v>
      </c>
    </row>
    <row r="57" customFormat="false" ht="15" hidden="false" customHeight="false" outlineLevel="0" collapsed="false">
      <c r="A57" s="11" t="n">
        <v>55</v>
      </c>
      <c r="B57" s="11" t="n">
        <v>1.5</v>
      </c>
      <c r="C57" s="11" t="s">
        <v>57</v>
      </c>
      <c r="D57" s="11" t="n">
        <v>2</v>
      </c>
      <c r="E57" s="11" t="n">
        <v>0</v>
      </c>
      <c r="F57" s="11" t="s">
        <v>81</v>
      </c>
    </row>
    <row r="58" customFormat="false" ht="15" hidden="false" customHeight="false" outlineLevel="0" collapsed="false">
      <c r="A58" s="13" t="n">
        <v>56</v>
      </c>
      <c r="B58" s="13" t="n">
        <v>1.5</v>
      </c>
      <c r="C58" s="13" t="s">
        <v>57</v>
      </c>
      <c r="D58" s="13" t="n">
        <v>2</v>
      </c>
      <c r="E58" s="13" t="n">
        <v>10</v>
      </c>
      <c r="F58" s="13" t="s">
        <v>81</v>
      </c>
    </row>
    <row r="59" customFormat="false" ht="15" hidden="false" customHeight="false" outlineLevel="0" collapsed="false">
      <c r="A59" s="11" t="n">
        <v>57</v>
      </c>
      <c r="B59" s="11" t="n">
        <v>1.5</v>
      </c>
      <c r="C59" s="11" t="s">
        <v>57</v>
      </c>
      <c r="D59" s="11" t="n">
        <v>2</v>
      </c>
      <c r="E59" s="11" t="n">
        <v>20</v>
      </c>
      <c r="F59" s="11" t="s">
        <v>81</v>
      </c>
    </row>
    <row r="60" customFormat="false" ht="15" hidden="false" customHeight="false" outlineLevel="0" collapsed="false">
      <c r="A60" s="13" t="n">
        <v>58</v>
      </c>
      <c r="B60" s="13" t="n">
        <v>1.5</v>
      </c>
      <c r="C60" s="13" t="s">
        <v>57</v>
      </c>
      <c r="D60" s="13" t="n">
        <v>5</v>
      </c>
      <c r="E60" s="13" t="n">
        <v>0</v>
      </c>
      <c r="F60" s="13" t="s">
        <v>81</v>
      </c>
    </row>
    <row r="61" customFormat="false" ht="15" hidden="false" customHeight="false" outlineLevel="0" collapsed="false">
      <c r="A61" s="11" t="n">
        <v>59</v>
      </c>
      <c r="B61" s="11" t="n">
        <v>1.5</v>
      </c>
      <c r="C61" s="11" t="s">
        <v>57</v>
      </c>
      <c r="D61" s="11" t="n">
        <v>5</v>
      </c>
      <c r="E61" s="11" t="n">
        <v>10</v>
      </c>
      <c r="F61" s="11" t="s">
        <v>81</v>
      </c>
    </row>
    <row r="62" customFormat="false" ht="15" hidden="false" customHeight="false" outlineLevel="0" collapsed="false">
      <c r="A62" s="13" t="n">
        <v>60</v>
      </c>
      <c r="B62" s="13" t="n">
        <v>1.5</v>
      </c>
      <c r="C62" s="13" t="s">
        <v>57</v>
      </c>
      <c r="D62" s="13" t="n">
        <v>5</v>
      </c>
      <c r="E62" s="13" t="n">
        <v>20</v>
      </c>
      <c r="F62" s="13" t="s">
        <v>81</v>
      </c>
    </row>
    <row r="63" customFormat="false" ht="15" hidden="false" customHeight="false" outlineLevel="0" collapsed="false">
      <c r="A63" s="11" t="n">
        <v>61</v>
      </c>
      <c r="B63" s="11" t="n">
        <v>1.5</v>
      </c>
      <c r="C63" s="11" t="s">
        <v>57</v>
      </c>
      <c r="D63" s="11" t="n">
        <v>10</v>
      </c>
      <c r="E63" s="11" t="n">
        <v>0</v>
      </c>
      <c r="F63" s="11" t="s">
        <v>81</v>
      </c>
    </row>
    <row r="64" customFormat="false" ht="15" hidden="false" customHeight="false" outlineLevel="0" collapsed="false">
      <c r="A64" s="13" t="n">
        <v>62</v>
      </c>
      <c r="B64" s="13" t="n">
        <v>1.5</v>
      </c>
      <c r="C64" s="13" t="s">
        <v>57</v>
      </c>
      <c r="D64" s="13" t="n">
        <v>10</v>
      </c>
      <c r="E64" s="13" t="n">
        <v>10</v>
      </c>
      <c r="F64" s="13" t="s">
        <v>81</v>
      </c>
    </row>
    <row r="65" customFormat="false" ht="15" hidden="false" customHeight="false" outlineLevel="0" collapsed="false">
      <c r="A65" s="11" t="n">
        <v>63</v>
      </c>
      <c r="B65" s="11" t="n">
        <v>1.5</v>
      </c>
      <c r="C65" s="11" t="s">
        <v>57</v>
      </c>
      <c r="D65" s="11" t="n">
        <v>10</v>
      </c>
      <c r="E65" s="11" t="n">
        <v>20</v>
      </c>
      <c r="F65" s="11" t="s">
        <v>81</v>
      </c>
    </row>
    <row r="66" customFormat="false" ht="15" hidden="false" customHeight="false" outlineLevel="0" collapsed="false">
      <c r="A66" s="13" t="n">
        <v>64</v>
      </c>
      <c r="B66" s="13" t="n">
        <v>1.5</v>
      </c>
      <c r="C66" s="13" t="s">
        <v>59</v>
      </c>
      <c r="D66" s="13" t="n">
        <v>2</v>
      </c>
      <c r="E66" s="13" t="n">
        <v>0</v>
      </c>
      <c r="F66" s="13" t="s">
        <v>81</v>
      </c>
    </row>
    <row r="67" customFormat="false" ht="15" hidden="false" customHeight="false" outlineLevel="0" collapsed="false">
      <c r="A67" s="11" t="n">
        <v>65</v>
      </c>
      <c r="B67" s="11" t="n">
        <v>1.5</v>
      </c>
      <c r="C67" s="11" t="s">
        <v>59</v>
      </c>
      <c r="D67" s="11" t="n">
        <v>2</v>
      </c>
      <c r="E67" s="11" t="n">
        <v>10</v>
      </c>
      <c r="F67" s="11" t="s">
        <v>81</v>
      </c>
    </row>
    <row r="68" customFormat="false" ht="15" hidden="false" customHeight="false" outlineLevel="0" collapsed="false">
      <c r="A68" s="13" t="n">
        <v>66</v>
      </c>
      <c r="B68" s="13" t="n">
        <v>1.5</v>
      </c>
      <c r="C68" s="13" t="s">
        <v>59</v>
      </c>
      <c r="D68" s="13" t="n">
        <v>2</v>
      </c>
      <c r="E68" s="13" t="n">
        <v>20</v>
      </c>
      <c r="F68" s="13" t="s">
        <v>81</v>
      </c>
    </row>
    <row r="69" customFormat="false" ht="15" hidden="false" customHeight="false" outlineLevel="0" collapsed="false">
      <c r="A69" s="11" t="n">
        <v>67</v>
      </c>
      <c r="B69" s="11" t="n">
        <v>1.5</v>
      </c>
      <c r="C69" s="11" t="s">
        <v>59</v>
      </c>
      <c r="D69" s="11" t="n">
        <v>5</v>
      </c>
      <c r="E69" s="11" t="n">
        <v>0</v>
      </c>
      <c r="F69" s="11" t="s">
        <v>81</v>
      </c>
    </row>
    <row r="70" customFormat="false" ht="15" hidden="false" customHeight="false" outlineLevel="0" collapsed="false">
      <c r="A70" s="13" t="n">
        <v>68</v>
      </c>
      <c r="B70" s="13" t="n">
        <v>1.5</v>
      </c>
      <c r="C70" s="13" t="s">
        <v>59</v>
      </c>
      <c r="D70" s="13" t="n">
        <v>5</v>
      </c>
      <c r="E70" s="13" t="n">
        <v>10</v>
      </c>
      <c r="F70" s="13" t="s">
        <v>81</v>
      </c>
    </row>
    <row r="71" customFormat="false" ht="15" hidden="false" customHeight="false" outlineLevel="0" collapsed="false">
      <c r="A71" s="11" t="n">
        <v>69</v>
      </c>
      <c r="B71" s="11" t="n">
        <v>1.5</v>
      </c>
      <c r="C71" s="11" t="s">
        <v>59</v>
      </c>
      <c r="D71" s="11" t="n">
        <v>5</v>
      </c>
      <c r="E71" s="11" t="n">
        <v>20</v>
      </c>
      <c r="F71" s="11" t="s">
        <v>81</v>
      </c>
    </row>
    <row r="72" customFormat="false" ht="15" hidden="false" customHeight="false" outlineLevel="0" collapsed="false">
      <c r="A72" s="13" t="n">
        <v>70</v>
      </c>
      <c r="B72" s="13" t="n">
        <v>1.5</v>
      </c>
      <c r="C72" s="13" t="s">
        <v>59</v>
      </c>
      <c r="D72" s="13" t="n">
        <v>10</v>
      </c>
      <c r="E72" s="13" t="n">
        <v>0</v>
      </c>
      <c r="F72" s="13" t="s">
        <v>81</v>
      </c>
    </row>
    <row r="73" customFormat="false" ht="15" hidden="false" customHeight="false" outlineLevel="0" collapsed="false">
      <c r="A73" s="11" t="n">
        <v>71</v>
      </c>
      <c r="B73" s="11" t="n">
        <v>1.5</v>
      </c>
      <c r="C73" s="11" t="s">
        <v>59</v>
      </c>
      <c r="D73" s="11" t="n">
        <v>10</v>
      </c>
      <c r="E73" s="11" t="n">
        <v>10</v>
      </c>
      <c r="F73" s="11" t="s">
        <v>81</v>
      </c>
    </row>
    <row r="74" customFormat="false" ht="15" hidden="false" customHeight="false" outlineLevel="0" collapsed="false">
      <c r="A74" s="13" t="n">
        <v>72</v>
      </c>
      <c r="B74" s="13" t="n">
        <v>1.5</v>
      </c>
      <c r="C74" s="13" t="s">
        <v>59</v>
      </c>
      <c r="D74" s="13" t="n">
        <v>10</v>
      </c>
      <c r="E74" s="13" t="n">
        <v>20</v>
      </c>
      <c r="F74" s="13" t="s">
        <v>81</v>
      </c>
    </row>
    <row r="75" customFormat="false" ht="15" hidden="false" customHeight="false" outlineLevel="0" collapsed="false">
      <c r="A75" s="11" t="n">
        <v>73</v>
      </c>
      <c r="B75" s="11" t="n">
        <v>1.5</v>
      </c>
      <c r="C75" s="11" t="s">
        <v>61</v>
      </c>
      <c r="D75" s="11" t="n">
        <v>2</v>
      </c>
      <c r="E75" s="11" t="n">
        <v>0</v>
      </c>
      <c r="F75" s="11" t="s">
        <v>81</v>
      </c>
    </row>
    <row r="76" customFormat="false" ht="15" hidden="false" customHeight="false" outlineLevel="0" collapsed="false">
      <c r="A76" s="13" t="n">
        <v>74</v>
      </c>
      <c r="B76" s="13" t="n">
        <v>1.5</v>
      </c>
      <c r="C76" s="13" t="s">
        <v>61</v>
      </c>
      <c r="D76" s="13" t="n">
        <v>2</v>
      </c>
      <c r="E76" s="13" t="n">
        <v>10</v>
      </c>
      <c r="F76" s="13" t="s">
        <v>81</v>
      </c>
    </row>
    <row r="77" customFormat="false" ht="15" hidden="false" customHeight="false" outlineLevel="0" collapsed="false">
      <c r="A77" s="11" t="n">
        <v>75</v>
      </c>
      <c r="B77" s="11" t="n">
        <v>1.5</v>
      </c>
      <c r="C77" s="11" t="s">
        <v>61</v>
      </c>
      <c r="D77" s="11" t="n">
        <v>2</v>
      </c>
      <c r="E77" s="11" t="n">
        <v>20</v>
      </c>
      <c r="F77" s="11" t="s">
        <v>81</v>
      </c>
    </row>
    <row r="78" customFormat="false" ht="15" hidden="false" customHeight="false" outlineLevel="0" collapsed="false">
      <c r="A78" s="13" t="n">
        <v>76</v>
      </c>
      <c r="B78" s="13" t="n">
        <v>1.5</v>
      </c>
      <c r="C78" s="13" t="s">
        <v>61</v>
      </c>
      <c r="D78" s="13" t="n">
        <v>5</v>
      </c>
      <c r="E78" s="13" t="n">
        <v>0</v>
      </c>
      <c r="F78" s="13" t="s">
        <v>81</v>
      </c>
    </row>
    <row r="79" customFormat="false" ht="15" hidden="false" customHeight="false" outlineLevel="0" collapsed="false">
      <c r="A79" s="11" t="n">
        <v>77</v>
      </c>
      <c r="B79" s="11" t="n">
        <v>1.5</v>
      </c>
      <c r="C79" s="11" t="s">
        <v>61</v>
      </c>
      <c r="D79" s="11" t="n">
        <v>5</v>
      </c>
      <c r="E79" s="11" t="n">
        <v>10</v>
      </c>
      <c r="F79" s="11" t="s">
        <v>81</v>
      </c>
    </row>
    <row r="80" customFormat="false" ht="15" hidden="false" customHeight="false" outlineLevel="0" collapsed="false">
      <c r="A80" s="13" t="n">
        <v>78</v>
      </c>
      <c r="B80" s="13" t="n">
        <v>1.5</v>
      </c>
      <c r="C80" s="13" t="s">
        <v>61</v>
      </c>
      <c r="D80" s="13" t="n">
        <v>5</v>
      </c>
      <c r="E80" s="13" t="n">
        <v>20</v>
      </c>
      <c r="F80" s="13" t="s">
        <v>81</v>
      </c>
    </row>
    <row r="81" customFormat="false" ht="15" hidden="false" customHeight="false" outlineLevel="0" collapsed="false">
      <c r="A81" s="11" t="n">
        <v>79</v>
      </c>
      <c r="B81" s="11" t="n">
        <v>1.5</v>
      </c>
      <c r="C81" s="11" t="s">
        <v>61</v>
      </c>
      <c r="D81" s="11" t="n">
        <v>10</v>
      </c>
      <c r="E81" s="11" t="n">
        <v>0</v>
      </c>
      <c r="F81" s="11" t="s">
        <v>81</v>
      </c>
    </row>
    <row r="82" customFormat="false" ht="15" hidden="false" customHeight="false" outlineLevel="0" collapsed="false">
      <c r="A82" s="13" t="n">
        <v>80</v>
      </c>
      <c r="B82" s="13" t="n">
        <v>1.5</v>
      </c>
      <c r="C82" s="13" t="s">
        <v>61</v>
      </c>
      <c r="D82" s="13" t="n">
        <v>10</v>
      </c>
      <c r="E82" s="13" t="n">
        <v>10</v>
      </c>
      <c r="F82" s="13" t="s">
        <v>81</v>
      </c>
    </row>
    <row r="83" customFormat="false" ht="15" hidden="false" customHeight="false" outlineLevel="0" collapsed="false">
      <c r="A83" s="11" t="n">
        <v>81</v>
      </c>
      <c r="B83" s="11" t="n">
        <v>1.5</v>
      </c>
      <c r="C83" s="11" t="s">
        <v>61</v>
      </c>
      <c r="D83" s="11" t="n">
        <v>10</v>
      </c>
      <c r="E83" s="11" t="n">
        <v>20</v>
      </c>
      <c r="F83" s="11" t="s">
        <v>81</v>
      </c>
    </row>
    <row r="84" customFormat="false" ht="15" hidden="false" customHeight="false" outlineLevel="0" collapsed="false">
      <c r="A84" s="13" t="n">
        <v>82</v>
      </c>
      <c r="B84" s="13" t="n">
        <v>2</v>
      </c>
      <c r="C84" s="13" t="s">
        <v>57</v>
      </c>
      <c r="D84" s="13" t="n">
        <v>2</v>
      </c>
      <c r="E84" s="13" t="n">
        <v>0</v>
      </c>
      <c r="F84" s="13" t="s">
        <v>81</v>
      </c>
    </row>
    <row r="85" customFormat="false" ht="15" hidden="false" customHeight="false" outlineLevel="0" collapsed="false">
      <c r="A85" s="11" t="n">
        <v>83</v>
      </c>
      <c r="B85" s="11" t="n">
        <v>2</v>
      </c>
      <c r="C85" s="11" t="s">
        <v>57</v>
      </c>
      <c r="D85" s="11" t="n">
        <v>2</v>
      </c>
      <c r="E85" s="11" t="n">
        <v>10</v>
      </c>
      <c r="F85" s="11" t="s">
        <v>81</v>
      </c>
    </row>
    <row r="86" customFormat="false" ht="15" hidden="false" customHeight="false" outlineLevel="0" collapsed="false">
      <c r="A86" s="13" t="n">
        <v>84</v>
      </c>
      <c r="B86" s="13" t="n">
        <v>2</v>
      </c>
      <c r="C86" s="13" t="s">
        <v>57</v>
      </c>
      <c r="D86" s="13" t="n">
        <v>2</v>
      </c>
      <c r="E86" s="13" t="n">
        <v>20</v>
      </c>
      <c r="F86" s="13" t="s">
        <v>81</v>
      </c>
    </row>
    <row r="87" customFormat="false" ht="15" hidden="false" customHeight="false" outlineLevel="0" collapsed="false">
      <c r="A87" s="11" t="n">
        <v>85</v>
      </c>
      <c r="B87" s="11" t="n">
        <v>2</v>
      </c>
      <c r="C87" s="11" t="s">
        <v>57</v>
      </c>
      <c r="D87" s="11" t="n">
        <v>5</v>
      </c>
      <c r="E87" s="11" t="n">
        <v>0</v>
      </c>
      <c r="F87" s="11" t="s">
        <v>81</v>
      </c>
    </row>
    <row r="88" customFormat="false" ht="15" hidden="false" customHeight="false" outlineLevel="0" collapsed="false">
      <c r="A88" s="13" t="n">
        <v>86</v>
      </c>
      <c r="B88" s="13" t="n">
        <v>2</v>
      </c>
      <c r="C88" s="13" t="s">
        <v>57</v>
      </c>
      <c r="D88" s="13" t="n">
        <v>5</v>
      </c>
      <c r="E88" s="13" t="n">
        <v>10</v>
      </c>
      <c r="F88" s="13" t="s">
        <v>81</v>
      </c>
    </row>
    <row r="89" customFormat="false" ht="15" hidden="false" customHeight="false" outlineLevel="0" collapsed="false">
      <c r="A89" s="11" t="n">
        <v>87</v>
      </c>
      <c r="B89" s="11" t="n">
        <v>2</v>
      </c>
      <c r="C89" s="11" t="s">
        <v>57</v>
      </c>
      <c r="D89" s="11" t="n">
        <v>5</v>
      </c>
      <c r="E89" s="11" t="n">
        <v>20</v>
      </c>
      <c r="F89" s="11" t="s">
        <v>81</v>
      </c>
    </row>
    <row r="90" customFormat="false" ht="15" hidden="false" customHeight="false" outlineLevel="0" collapsed="false">
      <c r="A90" s="13" t="n">
        <v>88</v>
      </c>
      <c r="B90" s="13" t="n">
        <v>2</v>
      </c>
      <c r="C90" s="13" t="s">
        <v>57</v>
      </c>
      <c r="D90" s="13" t="n">
        <v>10</v>
      </c>
      <c r="E90" s="13" t="n">
        <v>0</v>
      </c>
      <c r="F90" s="13" t="s">
        <v>81</v>
      </c>
    </row>
    <row r="91" customFormat="false" ht="15" hidden="false" customHeight="false" outlineLevel="0" collapsed="false">
      <c r="A91" s="11" t="n">
        <v>89</v>
      </c>
      <c r="B91" s="11" t="n">
        <v>2</v>
      </c>
      <c r="C91" s="11" t="s">
        <v>57</v>
      </c>
      <c r="D91" s="11" t="n">
        <v>10</v>
      </c>
      <c r="E91" s="11" t="n">
        <v>10</v>
      </c>
      <c r="F91" s="11" t="s">
        <v>81</v>
      </c>
    </row>
    <row r="92" customFormat="false" ht="15" hidden="false" customHeight="false" outlineLevel="0" collapsed="false">
      <c r="A92" s="13" t="n">
        <v>90</v>
      </c>
      <c r="B92" s="13" t="n">
        <v>2</v>
      </c>
      <c r="C92" s="13" t="s">
        <v>57</v>
      </c>
      <c r="D92" s="13" t="n">
        <v>10</v>
      </c>
      <c r="E92" s="13" t="n">
        <v>20</v>
      </c>
      <c r="F92" s="13" t="s">
        <v>81</v>
      </c>
    </row>
    <row r="93" customFormat="false" ht="15" hidden="false" customHeight="false" outlineLevel="0" collapsed="false">
      <c r="A93" s="11" t="n">
        <v>91</v>
      </c>
      <c r="B93" s="11" t="n">
        <v>2</v>
      </c>
      <c r="C93" s="11" t="s">
        <v>59</v>
      </c>
      <c r="D93" s="11" t="n">
        <v>2</v>
      </c>
      <c r="E93" s="11" t="n">
        <v>0</v>
      </c>
      <c r="F93" s="11" t="s">
        <v>81</v>
      </c>
    </row>
    <row r="94" customFormat="false" ht="15" hidden="false" customHeight="false" outlineLevel="0" collapsed="false">
      <c r="A94" s="13" t="n">
        <v>92</v>
      </c>
      <c r="B94" s="13" t="n">
        <v>2</v>
      </c>
      <c r="C94" s="13" t="s">
        <v>59</v>
      </c>
      <c r="D94" s="13" t="n">
        <v>2</v>
      </c>
      <c r="E94" s="13" t="n">
        <v>10</v>
      </c>
      <c r="F94" s="13" t="s">
        <v>81</v>
      </c>
    </row>
    <row r="95" customFormat="false" ht="15" hidden="false" customHeight="false" outlineLevel="0" collapsed="false">
      <c r="A95" s="11" t="n">
        <v>93</v>
      </c>
      <c r="B95" s="11" t="n">
        <v>2</v>
      </c>
      <c r="C95" s="11" t="s">
        <v>59</v>
      </c>
      <c r="D95" s="11" t="n">
        <v>2</v>
      </c>
      <c r="E95" s="11" t="n">
        <v>20</v>
      </c>
      <c r="F95" s="11" t="s">
        <v>81</v>
      </c>
    </row>
    <row r="96" customFormat="false" ht="15" hidden="false" customHeight="false" outlineLevel="0" collapsed="false">
      <c r="A96" s="13" t="n">
        <v>94</v>
      </c>
      <c r="B96" s="13" t="n">
        <v>2</v>
      </c>
      <c r="C96" s="13" t="s">
        <v>59</v>
      </c>
      <c r="D96" s="13" t="n">
        <v>5</v>
      </c>
      <c r="E96" s="13" t="n">
        <v>0</v>
      </c>
      <c r="F96" s="13" t="s">
        <v>81</v>
      </c>
    </row>
    <row r="97" customFormat="false" ht="15" hidden="false" customHeight="false" outlineLevel="0" collapsed="false">
      <c r="A97" s="11" t="n">
        <v>95</v>
      </c>
      <c r="B97" s="11" t="n">
        <v>2</v>
      </c>
      <c r="C97" s="11" t="s">
        <v>59</v>
      </c>
      <c r="D97" s="11" t="n">
        <v>5</v>
      </c>
      <c r="E97" s="11" t="n">
        <v>10</v>
      </c>
      <c r="F97" s="11" t="s">
        <v>81</v>
      </c>
    </row>
    <row r="98" customFormat="false" ht="15" hidden="false" customHeight="false" outlineLevel="0" collapsed="false">
      <c r="A98" s="13" t="n">
        <v>96</v>
      </c>
      <c r="B98" s="13" t="n">
        <v>2</v>
      </c>
      <c r="C98" s="13" t="s">
        <v>59</v>
      </c>
      <c r="D98" s="13" t="n">
        <v>5</v>
      </c>
      <c r="E98" s="13" t="n">
        <v>20</v>
      </c>
      <c r="F98" s="13" t="s">
        <v>81</v>
      </c>
    </row>
    <row r="99" customFormat="false" ht="15" hidden="false" customHeight="false" outlineLevel="0" collapsed="false">
      <c r="A99" s="11" t="n">
        <v>97</v>
      </c>
      <c r="B99" s="11" t="n">
        <v>2</v>
      </c>
      <c r="C99" s="11" t="s">
        <v>59</v>
      </c>
      <c r="D99" s="11" t="n">
        <v>10</v>
      </c>
      <c r="E99" s="11" t="n">
        <v>0</v>
      </c>
      <c r="F99" s="11" t="s">
        <v>81</v>
      </c>
    </row>
    <row r="100" customFormat="false" ht="15" hidden="false" customHeight="false" outlineLevel="0" collapsed="false">
      <c r="A100" s="13" t="n">
        <v>98</v>
      </c>
      <c r="B100" s="13" t="n">
        <v>2</v>
      </c>
      <c r="C100" s="13" t="s">
        <v>59</v>
      </c>
      <c r="D100" s="13" t="n">
        <v>10</v>
      </c>
      <c r="E100" s="13" t="n">
        <v>10</v>
      </c>
      <c r="F100" s="13" t="s">
        <v>81</v>
      </c>
    </row>
    <row r="101" customFormat="false" ht="15" hidden="false" customHeight="false" outlineLevel="0" collapsed="false">
      <c r="A101" s="11" t="n">
        <v>99</v>
      </c>
      <c r="B101" s="11" t="n">
        <v>2</v>
      </c>
      <c r="C101" s="11" t="s">
        <v>59</v>
      </c>
      <c r="D101" s="11" t="n">
        <v>10</v>
      </c>
      <c r="E101" s="11" t="n">
        <v>20</v>
      </c>
      <c r="F101" s="11" t="s">
        <v>81</v>
      </c>
    </row>
    <row r="102" customFormat="false" ht="15" hidden="false" customHeight="false" outlineLevel="0" collapsed="false">
      <c r="A102" s="13" t="n">
        <v>100</v>
      </c>
      <c r="B102" s="13" t="n">
        <v>2</v>
      </c>
      <c r="C102" s="13" t="s">
        <v>61</v>
      </c>
      <c r="D102" s="13" t="n">
        <v>2</v>
      </c>
      <c r="E102" s="13" t="n">
        <v>0</v>
      </c>
      <c r="F102" s="13" t="s">
        <v>81</v>
      </c>
    </row>
    <row r="103" customFormat="false" ht="15" hidden="false" customHeight="false" outlineLevel="0" collapsed="false">
      <c r="A103" s="11" t="n">
        <v>101</v>
      </c>
      <c r="B103" s="11" t="n">
        <v>2</v>
      </c>
      <c r="C103" s="11" t="s">
        <v>61</v>
      </c>
      <c r="D103" s="11" t="n">
        <v>2</v>
      </c>
      <c r="E103" s="11" t="n">
        <v>10</v>
      </c>
      <c r="F103" s="11" t="s">
        <v>81</v>
      </c>
    </row>
    <row r="104" customFormat="false" ht="15" hidden="false" customHeight="false" outlineLevel="0" collapsed="false">
      <c r="A104" s="13" t="n">
        <v>102</v>
      </c>
      <c r="B104" s="13" t="n">
        <v>2</v>
      </c>
      <c r="C104" s="13" t="s">
        <v>61</v>
      </c>
      <c r="D104" s="13" t="n">
        <v>2</v>
      </c>
      <c r="E104" s="13" t="n">
        <v>20</v>
      </c>
      <c r="F104" s="13" t="s">
        <v>81</v>
      </c>
    </row>
    <row r="105" customFormat="false" ht="15" hidden="false" customHeight="false" outlineLevel="0" collapsed="false">
      <c r="A105" s="11" t="n">
        <v>103</v>
      </c>
      <c r="B105" s="11" t="n">
        <v>2</v>
      </c>
      <c r="C105" s="11" t="s">
        <v>61</v>
      </c>
      <c r="D105" s="11" t="n">
        <v>5</v>
      </c>
      <c r="E105" s="11" t="n">
        <v>0</v>
      </c>
      <c r="F105" s="11" t="s">
        <v>81</v>
      </c>
    </row>
    <row r="106" customFormat="false" ht="15" hidden="false" customHeight="false" outlineLevel="0" collapsed="false">
      <c r="A106" s="13" t="n">
        <v>104</v>
      </c>
      <c r="B106" s="13" t="n">
        <v>2</v>
      </c>
      <c r="C106" s="13" t="s">
        <v>61</v>
      </c>
      <c r="D106" s="13" t="n">
        <v>5</v>
      </c>
      <c r="E106" s="13" t="n">
        <v>10</v>
      </c>
      <c r="F106" s="13" t="s">
        <v>81</v>
      </c>
    </row>
    <row r="107" customFormat="false" ht="15" hidden="false" customHeight="false" outlineLevel="0" collapsed="false">
      <c r="A107" s="11" t="n">
        <v>105</v>
      </c>
      <c r="B107" s="11" t="n">
        <v>2</v>
      </c>
      <c r="C107" s="11" t="s">
        <v>61</v>
      </c>
      <c r="D107" s="11" t="n">
        <v>5</v>
      </c>
      <c r="E107" s="11" t="n">
        <v>20</v>
      </c>
      <c r="F107" s="11" t="s">
        <v>81</v>
      </c>
    </row>
    <row r="108" customFormat="false" ht="15" hidden="false" customHeight="false" outlineLevel="0" collapsed="false">
      <c r="A108" s="13" t="n">
        <v>106</v>
      </c>
      <c r="B108" s="13" t="n">
        <v>2</v>
      </c>
      <c r="C108" s="13" t="s">
        <v>61</v>
      </c>
      <c r="D108" s="13" t="n">
        <v>10</v>
      </c>
      <c r="E108" s="13" t="n">
        <v>0</v>
      </c>
      <c r="F108" s="13" t="s">
        <v>81</v>
      </c>
    </row>
    <row r="109" customFormat="false" ht="15" hidden="false" customHeight="false" outlineLevel="0" collapsed="false">
      <c r="A109" s="11" t="n">
        <v>107</v>
      </c>
      <c r="B109" s="11" t="n">
        <v>2</v>
      </c>
      <c r="C109" s="11" t="s">
        <v>61</v>
      </c>
      <c r="D109" s="11" t="n">
        <v>10</v>
      </c>
      <c r="E109" s="11" t="n">
        <v>10</v>
      </c>
      <c r="F109" s="11" t="s">
        <v>81</v>
      </c>
    </row>
    <row r="110" customFormat="false" ht="15" hidden="false" customHeight="false" outlineLevel="0" collapsed="false">
      <c r="A110" s="13" t="n">
        <v>108</v>
      </c>
      <c r="B110" s="13" t="n">
        <v>2</v>
      </c>
      <c r="C110" s="13" t="s">
        <v>61</v>
      </c>
      <c r="D110" s="13" t="n">
        <v>10</v>
      </c>
      <c r="E110" s="13" t="n">
        <v>20</v>
      </c>
      <c r="F110" s="13" t="s">
        <v>81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28"/>
  </cols>
  <sheetData>
    <row r="1" customFormat="false" ht="19.7" hidden="false" customHeight="false" outlineLevel="0" collapsed="false">
      <c r="A1" s="8" t="s">
        <v>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customFormat="false" ht="15" hidden="false" customHeight="false" outlineLevel="0" collapsed="false">
      <c r="A2" s="15" t="s">
        <v>83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customFormat="false" ht="26.85" hidden="false" customHeight="false" outlineLevel="0" collapsed="false">
      <c r="A4" s="10" t="s">
        <v>84</v>
      </c>
      <c r="B4" s="10" t="s">
        <v>85</v>
      </c>
      <c r="C4" s="10" t="s">
        <v>76</v>
      </c>
      <c r="D4" s="10" t="s">
        <v>86</v>
      </c>
      <c r="E4" s="10" t="s">
        <v>77</v>
      </c>
      <c r="F4" s="10" t="s">
        <v>51</v>
      </c>
      <c r="G4" s="10" t="s">
        <v>87</v>
      </c>
      <c r="H4" s="10" t="s">
        <v>79</v>
      </c>
      <c r="I4" s="10" t="s">
        <v>88</v>
      </c>
      <c r="J4" s="10" t="s">
        <v>89</v>
      </c>
      <c r="K4" s="10" t="s">
        <v>90</v>
      </c>
      <c r="L4" s="10" t="s">
        <v>91</v>
      </c>
      <c r="M4" s="10" t="s">
        <v>92</v>
      </c>
      <c r="N4" s="10" t="s">
        <v>93</v>
      </c>
      <c r="O4" s="10" t="s">
        <v>94</v>
      </c>
      <c r="P4" s="10" t="s">
        <v>95</v>
      </c>
      <c r="Q4" s="10" t="s">
        <v>96</v>
      </c>
      <c r="R4" s="10" t="s">
        <v>41</v>
      </c>
    </row>
    <row r="5" customFormat="false" ht="15" hidden="false" customHeight="false" outlineLevel="0" collapsed="false">
      <c r="A5" s="11" t="n">
        <v>1</v>
      </c>
      <c r="B5" s="11" t="n">
        <v>245</v>
      </c>
      <c r="C5" s="11" t="n">
        <v>49</v>
      </c>
      <c r="D5" s="11" t="n">
        <v>5</v>
      </c>
      <c r="E5" s="11" t="n">
        <v>1</v>
      </c>
      <c r="F5" s="11" t="s">
        <v>61</v>
      </c>
      <c r="G5" s="11" t="n">
        <v>5</v>
      </c>
      <c r="H5" s="11" t="n">
        <v>0</v>
      </c>
      <c r="I5" s="16"/>
      <c r="J5" s="16"/>
      <c r="K5" s="17" t="str">
        <f aca="false">IF(AND(I5&lt;&gt;"",J5&lt;&gt;"",J5&lt;&gt;0),I5/J5,"")</f>
        <v/>
      </c>
      <c r="L5" s="16"/>
      <c r="M5" s="16"/>
      <c r="N5" s="16"/>
      <c r="O5" s="16" t="n">
        <v>1.5</v>
      </c>
      <c r="P5" s="17" t="str">
        <f aca="false">IF(AND(N5&lt;&gt;"",O5&lt;&gt;"",I5&lt;&gt;"",I5&lt;&gt;0),N5/(O5*9.81*I5),"")</f>
        <v/>
      </c>
      <c r="Q5" s="16"/>
      <c r="R5" s="18"/>
    </row>
    <row r="6" customFormat="false" ht="15" hidden="false" customHeight="false" outlineLevel="0" collapsed="false">
      <c r="A6" s="13" t="n">
        <v>2</v>
      </c>
      <c r="B6" s="13" t="n">
        <v>147</v>
      </c>
      <c r="C6" s="13" t="n">
        <v>30</v>
      </c>
      <c r="D6" s="13" t="n">
        <v>2</v>
      </c>
      <c r="E6" s="13" t="n">
        <v>1</v>
      </c>
      <c r="F6" s="13" t="s">
        <v>57</v>
      </c>
      <c r="G6" s="13" t="n">
        <v>2</v>
      </c>
      <c r="H6" s="13" t="n">
        <v>20</v>
      </c>
      <c r="I6" s="19"/>
      <c r="J6" s="19"/>
      <c r="K6" s="17" t="str">
        <f aca="false">IF(AND(I6&lt;&gt;"",J6&lt;&gt;"",J6&lt;&gt;0),I6/J6,"")</f>
        <v/>
      </c>
      <c r="L6" s="19"/>
      <c r="M6" s="19"/>
      <c r="N6" s="19"/>
      <c r="O6" s="19" t="n">
        <v>1.5</v>
      </c>
      <c r="P6" s="17" t="str">
        <f aca="false">IF(AND(N6&lt;&gt;"",O6&lt;&gt;"",I6&lt;&gt;"",I6&lt;&gt;0),N6/(O6*9.81*I6),"")</f>
        <v/>
      </c>
      <c r="Q6" s="19"/>
      <c r="R6" s="20"/>
    </row>
    <row r="7" customFormat="false" ht="15" hidden="false" customHeight="false" outlineLevel="0" collapsed="false">
      <c r="A7" s="11" t="n">
        <v>3</v>
      </c>
      <c r="B7" s="11" t="n">
        <v>254</v>
      </c>
      <c r="C7" s="11" t="n">
        <v>51</v>
      </c>
      <c r="D7" s="11" t="n">
        <v>4</v>
      </c>
      <c r="E7" s="11" t="n">
        <v>1</v>
      </c>
      <c r="F7" s="11" t="s">
        <v>61</v>
      </c>
      <c r="G7" s="11" t="n">
        <v>5</v>
      </c>
      <c r="H7" s="11" t="n">
        <v>20</v>
      </c>
      <c r="I7" s="16"/>
      <c r="J7" s="16"/>
      <c r="K7" s="17" t="str">
        <f aca="false">IF(AND(I7&lt;&gt;"",J7&lt;&gt;"",J7&lt;&gt;0),I7/J7,"")</f>
        <v/>
      </c>
      <c r="L7" s="16"/>
      <c r="M7" s="16"/>
      <c r="N7" s="16"/>
      <c r="O7" s="16" t="n">
        <v>1.5</v>
      </c>
      <c r="P7" s="17" t="str">
        <f aca="false">IF(AND(N7&lt;&gt;"",O7&lt;&gt;"",I7&lt;&gt;"",I7&lt;&gt;0),N7/(O7*9.81*I7),"")</f>
        <v/>
      </c>
      <c r="Q7" s="16"/>
      <c r="R7" s="18"/>
    </row>
    <row r="8" customFormat="false" ht="15" hidden="false" customHeight="false" outlineLevel="0" collapsed="false">
      <c r="A8" s="13" t="n">
        <v>4</v>
      </c>
      <c r="B8" s="13" t="n">
        <v>364</v>
      </c>
      <c r="C8" s="13" t="n">
        <v>73</v>
      </c>
      <c r="D8" s="13" t="n">
        <v>4</v>
      </c>
      <c r="E8" s="13" t="n">
        <v>1.5</v>
      </c>
      <c r="F8" s="13" t="s">
        <v>61</v>
      </c>
      <c r="G8" s="13" t="n">
        <v>2</v>
      </c>
      <c r="H8" s="13" t="n">
        <v>0</v>
      </c>
      <c r="I8" s="19"/>
      <c r="J8" s="19"/>
      <c r="K8" s="17" t="str">
        <f aca="false">IF(AND(I8&lt;&gt;"",J8&lt;&gt;"",J8&lt;&gt;0),I8/J8,"")</f>
        <v/>
      </c>
      <c r="L8" s="19"/>
      <c r="M8" s="19"/>
      <c r="N8" s="19"/>
      <c r="O8" s="19" t="n">
        <v>1.5</v>
      </c>
      <c r="P8" s="17" t="str">
        <f aca="false">IF(AND(N8&lt;&gt;"",O8&lt;&gt;"",I8&lt;&gt;"",I8&lt;&gt;0),N8/(O8*9.81*I8),"")</f>
        <v/>
      </c>
      <c r="Q8" s="19"/>
      <c r="R8" s="20"/>
    </row>
    <row r="9" customFormat="false" ht="15" hidden="false" customHeight="false" outlineLevel="0" collapsed="false">
      <c r="A9" s="11" t="n">
        <v>5</v>
      </c>
      <c r="B9" s="11" t="n">
        <v>132</v>
      </c>
      <c r="C9" s="11" t="n">
        <v>27</v>
      </c>
      <c r="D9" s="11" t="n">
        <v>2</v>
      </c>
      <c r="E9" s="11" t="n">
        <v>0.5</v>
      </c>
      <c r="F9" s="11" t="s">
        <v>61</v>
      </c>
      <c r="G9" s="11" t="n">
        <v>10</v>
      </c>
      <c r="H9" s="11" t="n">
        <v>20</v>
      </c>
      <c r="I9" s="16"/>
      <c r="J9" s="16"/>
      <c r="K9" s="17" t="str">
        <f aca="false">IF(AND(I9&lt;&gt;"",J9&lt;&gt;"",J9&lt;&gt;0),I9/J9,"")</f>
        <v/>
      </c>
      <c r="L9" s="16"/>
      <c r="M9" s="16"/>
      <c r="N9" s="16"/>
      <c r="O9" s="16" t="n">
        <v>1.5</v>
      </c>
      <c r="P9" s="17" t="str">
        <f aca="false">IF(AND(N9&lt;&gt;"",O9&lt;&gt;"",I9&lt;&gt;"",I9&lt;&gt;0),N9/(O9*9.81*I9),"")</f>
        <v/>
      </c>
      <c r="Q9" s="16"/>
      <c r="R9" s="18"/>
    </row>
    <row r="10" customFormat="false" ht="15" hidden="false" customHeight="false" outlineLevel="0" collapsed="false">
      <c r="A10" s="13" t="n">
        <v>6</v>
      </c>
      <c r="B10" s="13" t="n">
        <v>119</v>
      </c>
      <c r="C10" s="13" t="n">
        <v>24</v>
      </c>
      <c r="D10" s="13" t="n">
        <v>4</v>
      </c>
      <c r="E10" s="13" t="n">
        <v>0.5</v>
      </c>
      <c r="F10" s="13" t="s">
        <v>61</v>
      </c>
      <c r="G10" s="13" t="n">
        <v>5</v>
      </c>
      <c r="H10" s="13" t="n">
        <v>20</v>
      </c>
      <c r="I10" s="19"/>
      <c r="J10" s="19"/>
      <c r="K10" s="17" t="str">
        <f aca="false">IF(AND(I10&lt;&gt;"",J10&lt;&gt;"",J10&lt;&gt;0),I10/J10,"")</f>
        <v/>
      </c>
      <c r="L10" s="19"/>
      <c r="M10" s="19"/>
      <c r="N10" s="19"/>
      <c r="O10" s="19" t="n">
        <v>1.5</v>
      </c>
      <c r="P10" s="17" t="str">
        <f aca="false">IF(AND(N10&lt;&gt;"",O10&lt;&gt;"",I10&lt;&gt;"",I10&lt;&gt;0),N10/(O10*9.81*I10),"")</f>
        <v/>
      </c>
      <c r="Q10" s="19"/>
      <c r="R10" s="20"/>
    </row>
    <row r="11" customFormat="false" ht="15" hidden="false" customHeight="false" outlineLevel="0" collapsed="false">
      <c r="A11" s="11" t="n">
        <v>7</v>
      </c>
      <c r="B11" s="11" t="n">
        <v>266</v>
      </c>
      <c r="C11" s="11" t="n">
        <v>54</v>
      </c>
      <c r="D11" s="11" t="n">
        <v>1</v>
      </c>
      <c r="E11" s="11" t="n">
        <v>1</v>
      </c>
      <c r="F11" s="11" t="s">
        <v>61</v>
      </c>
      <c r="G11" s="11" t="n">
        <v>10</v>
      </c>
      <c r="H11" s="11" t="n">
        <v>20</v>
      </c>
      <c r="I11" s="16"/>
      <c r="J11" s="16"/>
      <c r="K11" s="17" t="str">
        <f aca="false">IF(AND(I11&lt;&gt;"",J11&lt;&gt;"",J11&lt;&gt;0),I11/J11,"")</f>
        <v/>
      </c>
      <c r="L11" s="16"/>
      <c r="M11" s="16"/>
      <c r="N11" s="16"/>
      <c r="O11" s="16" t="n">
        <v>1.5</v>
      </c>
      <c r="P11" s="17" t="str">
        <f aca="false">IF(AND(N11&lt;&gt;"",O11&lt;&gt;"",I11&lt;&gt;"",I11&lt;&gt;0),N11/(O11*9.81*I11),"")</f>
        <v/>
      </c>
      <c r="Q11" s="16"/>
      <c r="R11" s="18"/>
    </row>
    <row r="12" customFormat="false" ht="15" hidden="false" customHeight="false" outlineLevel="0" collapsed="false">
      <c r="A12" s="13" t="n">
        <v>8</v>
      </c>
      <c r="B12" s="13" t="n">
        <v>210</v>
      </c>
      <c r="C12" s="13" t="n">
        <v>42</v>
      </c>
      <c r="D12" s="13" t="n">
        <v>5</v>
      </c>
      <c r="E12" s="13" t="n">
        <v>1</v>
      </c>
      <c r="F12" s="13" t="s">
        <v>59</v>
      </c>
      <c r="G12" s="13" t="n">
        <v>5</v>
      </c>
      <c r="H12" s="13" t="n">
        <v>20</v>
      </c>
      <c r="I12" s="19"/>
      <c r="J12" s="19"/>
      <c r="K12" s="17" t="str">
        <f aca="false">IF(AND(I12&lt;&gt;"",J12&lt;&gt;"",J12&lt;&gt;0),I12/J12,"")</f>
        <v/>
      </c>
      <c r="L12" s="19"/>
      <c r="M12" s="19"/>
      <c r="N12" s="19"/>
      <c r="O12" s="19" t="n">
        <v>1.5</v>
      </c>
      <c r="P12" s="17" t="str">
        <f aca="false">IF(AND(N12&lt;&gt;"",O12&lt;&gt;"",I12&lt;&gt;"",I12&lt;&gt;0),N12/(O12*9.81*I12),"")</f>
        <v/>
      </c>
      <c r="Q12" s="19"/>
      <c r="R12" s="20"/>
    </row>
    <row r="13" customFormat="false" ht="15" hidden="false" customHeight="false" outlineLevel="0" collapsed="false">
      <c r="A13" s="11" t="n">
        <v>9</v>
      </c>
      <c r="B13" s="11" t="n">
        <v>472</v>
      </c>
      <c r="C13" s="11" t="n">
        <v>95</v>
      </c>
      <c r="D13" s="11" t="n">
        <v>2</v>
      </c>
      <c r="E13" s="11" t="n">
        <v>2</v>
      </c>
      <c r="F13" s="11" t="s">
        <v>59</v>
      </c>
      <c r="G13" s="11" t="n">
        <v>5</v>
      </c>
      <c r="H13" s="11" t="n">
        <v>10</v>
      </c>
      <c r="I13" s="16"/>
      <c r="J13" s="16"/>
      <c r="K13" s="17" t="str">
        <f aca="false">IF(AND(I13&lt;&gt;"",J13&lt;&gt;"",J13&lt;&gt;0),I13/J13,"")</f>
        <v/>
      </c>
      <c r="L13" s="16"/>
      <c r="M13" s="16"/>
      <c r="N13" s="16"/>
      <c r="O13" s="16" t="n">
        <v>1.5</v>
      </c>
      <c r="P13" s="17" t="str">
        <f aca="false">IF(AND(N13&lt;&gt;"",O13&lt;&gt;"",I13&lt;&gt;"",I13&lt;&gt;0),N13/(O13*9.81*I13),"")</f>
        <v/>
      </c>
      <c r="Q13" s="16"/>
      <c r="R13" s="18"/>
    </row>
    <row r="14" customFormat="false" ht="15" hidden="false" customHeight="false" outlineLevel="0" collapsed="false">
      <c r="A14" s="13" t="n">
        <v>10</v>
      </c>
      <c r="B14" s="13" t="n">
        <v>457</v>
      </c>
      <c r="C14" s="13" t="n">
        <v>92</v>
      </c>
      <c r="D14" s="13" t="n">
        <v>2</v>
      </c>
      <c r="E14" s="13" t="n">
        <v>2</v>
      </c>
      <c r="F14" s="13" t="s">
        <v>59</v>
      </c>
      <c r="G14" s="13" t="n">
        <v>2</v>
      </c>
      <c r="H14" s="13" t="n">
        <v>10</v>
      </c>
      <c r="I14" s="19"/>
      <c r="J14" s="19"/>
      <c r="K14" s="17" t="str">
        <f aca="false">IF(AND(I14&lt;&gt;"",J14&lt;&gt;"",J14&lt;&gt;0),I14/J14,"")</f>
        <v/>
      </c>
      <c r="L14" s="19"/>
      <c r="M14" s="19"/>
      <c r="N14" s="19"/>
      <c r="O14" s="19" t="n">
        <v>1.5</v>
      </c>
      <c r="P14" s="17" t="str">
        <f aca="false">IF(AND(N14&lt;&gt;"",O14&lt;&gt;"",I14&lt;&gt;"",I14&lt;&gt;0),N14/(O14*9.81*I14),"")</f>
        <v/>
      </c>
      <c r="Q14" s="19"/>
      <c r="R14" s="20"/>
    </row>
    <row r="15" customFormat="false" ht="15" hidden="false" customHeight="false" outlineLevel="0" collapsed="false">
      <c r="A15" s="11" t="n">
        <v>11</v>
      </c>
      <c r="B15" s="11" t="n">
        <v>93</v>
      </c>
      <c r="C15" s="11" t="n">
        <v>19</v>
      </c>
      <c r="D15" s="11" t="n">
        <v>3</v>
      </c>
      <c r="E15" s="11" t="n">
        <v>0.5</v>
      </c>
      <c r="F15" s="11" t="s">
        <v>61</v>
      </c>
      <c r="G15" s="11" t="n">
        <v>2</v>
      </c>
      <c r="H15" s="11" t="n">
        <v>0</v>
      </c>
      <c r="I15" s="16"/>
      <c r="J15" s="16"/>
      <c r="K15" s="17" t="str">
        <f aca="false">IF(AND(I15&lt;&gt;"",J15&lt;&gt;"",J15&lt;&gt;0),I15/J15,"")</f>
        <v/>
      </c>
      <c r="L15" s="16"/>
      <c r="M15" s="16"/>
      <c r="N15" s="16"/>
      <c r="O15" s="16" t="n">
        <v>1.5</v>
      </c>
      <c r="P15" s="17" t="str">
        <f aca="false">IF(AND(N15&lt;&gt;"",O15&lt;&gt;"",I15&lt;&gt;"",I15&lt;&gt;0),N15/(O15*9.81*I15),"")</f>
        <v/>
      </c>
      <c r="Q15" s="16"/>
      <c r="R15" s="18"/>
    </row>
    <row r="16" customFormat="false" ht="15" hidden="false" customHeight="false" outlineLevel="0" collapsed="false">
      <c r="A16" s="13" t="n">
        <v>12</v>
      </c>
      <c r="B16" s="13" t="n">
        <v>262</v>
      </c>
      <c r="C16" s="13" t="n">
        <v>53</v>
      </c>
      <c r="D16" s="13" t="n">
        <v>2</v>
      </c>
      <c r="E16" s="13" t="n">
        <v>1</v>
      </c>
      <c r="F16" s="13" t="s">
        <v>61</v>
      </c>
      <c r="G16" s="13" t="n">
        <v>10</v>
      </c>
      <c r="H16" s="13" t="n">
        <v>10</v>
      </c>
      <c r="I16" s="19"/>
      <c r="J16" s="19"/>
      <c r="K16" s="17" t="str">
        <f aca="false">IF(AND(I16&lt;&gt;"",J16&lt;&gt;"",J16&lt;&gt;0),I16/J16,"")</f>
        <v/>
      </c>
      <c r="L16" s="19"/>
      <c r="M16" s="19"/>
      <c r="N16" s="19"/>
      <c r="O16" s="19" t="n">
        <v>1.5</v>
      </c>
      <c r="P16" s="17" t="str">
        <f aca="false">IF(AND(N16&lt;&gt;"",O16&lt;&gt;"",I16&lt;&gt;"",I16&lt;&gt;0),N16/(O16*9.81*I16),"")</f>
        <v/>
      </c>
      <c r="Q16" s="19"/>
      <c r="R16" s="20"/>
    </row>
    <row r="17" customFormat="false" ht="15" hidden="false" customHeight="false" outlineLevel="0" collapsed="false">
      <c r="A17" s="11" t="n">
        <v>13</v>
      </c>
      <c r="B17" s="11" t="n">
        <v>418</v>
      </c>
      <c r="C17" s="11" t="n">
        <v>84</v>
      </c>
      <c r="D17" s="11" t="n">
        <v>3</v>
      </c>
      <c r="E17" s="11" t="n">
        <v>2</v>
      </c>
      <c r="F17" s="11" t="s">
        <v>57</v>
      </c>
      <c r="G17" s="11" t="n">
        <v>2</v>
      </c>
      <c r="H17" s="11" t="n">
        <v>20</v>
      </c>
      <c r="I17" s="16"/>
      <c r="J17" s="16"/>
      <c r="K17" s="17" t="str">
        <f aca="false">IF(AND(I17&lt;&gt;"",J17&lt;&gt;"",J17&lt;&gt;0),I17/J17,"")</f>
        <v/>
      </c>
      <c r="L17" s="16"/>
      <c r="M17" s="16"/>
      <c r="N17" s="16"/>
      <c r="O17" s="16" t="n">
        <v>1.5</v>
      </c>
      <c r="P17" s="17" t="str">
        <f aca="false">IF(AND(N17&lt;&gt;"",O17&lt;&gt;"",I17&lt;&gt;"",I17&lt;&gt;0),N17/(O17*9.81*I17),"")</f>
        <v/>
      </c>
      <c r="Q17" s="16"/>
      <c r="R17" s="18"/>
    </row>
    <row r="18" customFormat="false" ht="15" hidden="false" customHeight="false" outlineLevel="0" collapsed="false">
      <c r="A18" s="13" t="n">
        <v>14</v>
      </c>
      <c r="B18" s="13" t="n">
        <v>216</v>
      </c>
      <c r="C18" s="13" t="n">
        <v>44</v>
      </c>
      <c r="D18" s="13" t="n">
        <v>1</v>
      </c>
      <c r="E18" s="13" t="n">
        <v>1</v>
      </c>
      <c r="F18" s="13" t="s">
        <v>59</v>
      </c>
      <c r="G18" s="13" t="n">
        <v>10</v>
      </c>
      <c r="H18" s="13" t="n">
        <v>10</v>
      </c>
      <c r="I18" s="19"/>
      <c r="J18" s="19"/>
      <c r="K18" s="17" t="str">
        <f aca="false">IF(AND(I18&lt;&gt;"",J18&lt;&gt;"",J18&lt;&gt;0),I18/J18,"")</f>
        <v/>
      </c>
      <c r="L18" s="19"/>
      <c r="M18" s="19"/>
      <c r="N18" s="19"/>
      <c r="O18" s="19" t="n">
        <v>1.5</v>
      </c>
      <c r="P18" s="17" t="str">
        <f aca="false">IF(AND(N18&lt;&gt;"",O18&lt;&gt;"",I18&lt;&gt;"",I18&lt;&gt;0),N18/(O18*9.81*I18),"")</f>
        <v/>
      </c>
      <c r="Q18" s="19"/>
      <c r="R18" s="20"/>
    </row>
    <row r="19" customFormat="false" ht="15" hidden="false" customHeight="false" outlineLevel="0" collapsed="false">
      <c r="A19" s="11" t="n">
        <v>15</v>
      </c>
      <c r="B19" s="11" t="n">
        <v>529</v>
      </c>
      <c r="C19" s="11" t="n">
        <v>106</v>
      </c>
      <c r="D19" s="11" t="n">
        <v>4</v>
      </c>
      <c r="E19" s="11" t="n">
        <v>2</v>
      </c>
      <c r="F19" s="11" t="s">
        <v>61</v>
      </c>
      <c r="G19" s="11" t="n">
        <v>10</v>
      </c>
      <c r="H19" s="11" t="n">
        <v>0</v>
      </c>
      <c r="I19" s="16"/>
      <c r="J19" s="16"/>
      <c r="K19" s="17" t="str">
        <f aca="false">IF(AND(I19&lt;&gt;"",J19&lt;&gt;"",J19&lt;&gt;0),I19/J19,"")</f>
        <v/>
      </c>
      <c r="L19" s="16"/>
      <c r="M19" s="16"/>
      <c r="N19" s="16"/>
      <c r="O19" s="16" t="n">
        <v>1.5</v>
      </c>
      <c r="P19" s="17" t="str">
        <f aca="false">IF(AND(N19&lt;&gt;"",O19&lt;&gt;"",I19&lt;&gt;"",I19&lt;&gt;0),N19/(O19*9.81*I19),"")</f>
        <v/>
      </c>
      <c r="Q19" s="16"/>
      <c r="R19" s="18"/>
    </row>
    <row r="20" customFormat="false" ht="15" hidden="false" customHeight="false" outlineLevel="0" collapsed="false">
      <c r="A20" s="13" t="n">
        <v>16</v>
      </c>
      <c r="B20" s="13" t="n">
        <v>313</v>
      </c>
      <c r="C20" s="13" t="n">
        <v>63</v>
      </c>
      <c r="D20" s="13" t="n">
        <v>3</v>
      </c>
      <c r="E20" s="13" t="n">
        <v>1.5</v>
      </c>
      <c r="F20" s="13" t="s">
        <v>57</v>
      </c>
      <c r="G20" s="13" t="n">
        <v>10</v>
      </c>
      <c r="H20" s="13" t="n">
        <v>20</v>
      </c>
      <c r="I20" s="19"/>
      <c r="J20" s="19"/>
      <c r="K20" s="17" t="str">
        <f aca="false">IF(AND(I20&lt;&gt;"",J20&lt;&gt;"",J20&lt;&gt;0),I20/J20,"")</f>
        <v/>
      </c>
      <c r="L20" s="19"/>
      <c r="M20" s="19"/>
      <c r="N20" s="19"/>
      <c r="O20" s="19" t="n">
        <v>1.5</v>
      </c>
      <c r="P20" s="17" t="str">
        <f aca="false">IF(AND(N20&lt;&gt;"",O20&lt;&gt;"",I20&lt;&gt;"",I20&lt;&gt;0),N20/(O20*9.81*I20),"")</f>
        <v/>
      </c>
      <c r="Q20" s="19"/>
      <c r="R20" s="20"/>
    </row>
    <row r="21" customFormat="false" ht="15" hidden="false" customHeight="false" outlineLevel="0" collapsed="false">
      <c r="A21" s="11" t="n">
        <v>17</v>
      </c>
      <c r="B21" s="11" t="n">
        <v>401</v>
      </c>
      <c r="C21" s="11" t="n">
        <v>81</v>
      </c>
      <c r="D21" s="11" t="n">
        <v>1</v>
      </c>
      <c r="E21" s="11" t="n">
        <v>1.5</v>
      </c>
      <c r="F21" s="11" t="s">
        <v>61</v>
      </c>
      <c r="G21" s="11" t="n">
        <v>10</v>
      </c>
      <c r="H21" s="11" t="n">
        <v>20</v>
      </c>
      <c r="I21" s="16"/>
      <c r="J21" s="16"/>
      <c r="K21" s="17" t="str">
        <f aca="false">IF(AND(I21&lt;&gt;"",J21&lt;&gt;"",J21&lt;&gt;0),I21/J21,"")</f>
        <v/>
      </c>
      <c r="L21" s="16"/>
      <c r="M21" s="16"/>
      <c r="N21" s="16"/>
      <c r="O21" s="16" t="n">
        <v>1.5</v>
      </c>
      <c r="P21" s="17" t="str">
        <f aca="false">IF(AND(N21&lt;&gt;"",O21&lt;&gt;"",I21&lt;&gt;"",I21&lt;&gt;0),N21/(O21*9.81*I21),"")</f>
        <v/>
      </c>
      <c r="Q21" s="16"/>
      <c r="R21" s="18"/>
    </row>
    <row r="22" customFormat="false" ht="15" hidden="false" customHeight="false" outlineLevel="0" collapsed="false">
      <c r="A22" s="13" t="n">
        <v>18</v>
      </c>
      <c r="B22" s="13" t="n">
        <v>397</v>
      </c>
      <c r="C22" s="13" t="n">
        <v>80</v>
      </c>
      <c r="D22" s="13" t="n">
        <v>2</v>
      </c>
      <c r="E22" s="13" t="n">
        <v>1.5</v>
      </c>
      <c r="F22" s="13" t="s">
        <v>61</v>
      </c>
      <c r="G22" s="13" t="n">
        <v>10</v>
      </c>
      <c r="H22" s="13" t="n">
        <v>10</v>
      </c>
      <c r="I22" s="19"/>
      <c r="J22" s="19"/>
      <c r="K22" s="17" t="str">
        <f aca="false">IF(AND(I22&lt;&gt;"",J22&lt;&gt;"",J22&lt;&gt;0),I22/J22,"")</f>
        <v/>
      </c>
      <c r="L22" s="19"/>
      <c r="M22" s="19"/>
      <c r="N22" s="19"/>
      <c r="O22" s="19" t="n">
        <v>1.5</v>
      </c>
      <c r="P22" s="17" t="str">
        <f aca="false">IF(AND(N22&lt;&gt;"",O22&lt;&gt;"",I22&lt;&gt;"",I22&lt;&gt;0),N22/(O22*9.81*I22),"")</f>
        <v/>
      </c>
      <c r="Q22" s="19"/>
      <c r="R22" s="20"/>
    </row>
    <row r="23" customFormat="false" ht="15" hidden="false" customHeight="false" outlineLevel="0" collapsed="false">
      <c r="A23" s="11" t="n">
        <v>19</v>
      </c>
      <c r="B23" s="11" t="n">
        <v>331</v>
      </c>
      <c r="C23" s="11" t="n">
        <v>67</v>
      </c>
      <c r="D23" s="11" t="n">
        <v>1</v>
      </c>
      <c r="E23" s="11" t="n">
        <v>1.5</v>
      </c>
      <c r="F23" s="11" t="s">
        <v>59</v>
      </c>
      <c r="G23" s="11" t="n">
        <v>5</v>
      </c>
      <c r="H23" s="11" t="n">
        <v>0</v>
      </c>
      <c r="I23" s="16"/>
      <c r="J23" s="16"/>
      <c r="K23" s="17" t="str">
        <f aca="false">IF(AND(I23&lt;&gt;"",J23&lt;&gt;"",J23&lt;&gt;0),I23/J23,"")</f>
        <v/>
      </c>
      <c r="L23" s="16"/>
      <c r="M23" s="16"/>
      <c r="N23" s="16"/>
      <c r="O23" s="16" t="n">
        <v>1.5</v>
      </c>
      <c r="P23" s="17" t="str">
        <f aca="false">IF(AND(N23&lt;&gt;"",O23&lt;&gt;"",I23&lt;&gt;"",I23&lt;&gt;0),N23/(O23*9.81*I23),"")</f>
        <v/>
      </c>
      <c r="Q23" s="16"/>
      <c r="R23" s="18"/>
    </row>
    <row r="24" customFormat="false" ht="15" hidden="false" customHeight="false" outlineLevel="0" collapsed="false">
      <c r="A24" s="13" t="n">
        <v>20</v>
      </c>
      <c r="B24" s="13" t="n">
        <v>185</v>
      </c>
      <c r="C24" s="13" t="n">
        <v>37</v>
      </c>
      <c r="D24" s="13" t="n">
        <v>5</v>
      </c>
      <c r="E24" s="13" t="n">
        <v>1</v>
      </c>
      <c r="F24" s="13" t="s">
        <v>59</v>
      </c>
      <c r="G24" s="13" t="n">
        <v>2</v>
      </c>
      <c r="H24" s="13" t="n">
        <v>0</v>
      </c>
      <c r="I24" s="19"/>
      <c r="J24" s="19"/>
      <c r="K24" s="17" t="str">
        <f aca="false">IF(AND(I24&lt;&gt;"",J24&lt;&gt;"",J24&lt;&gt;0),I24/J24,"")</f>
        <v/>
      </c>
      <c r="L24" s="19"/>
      <c r="M24" s="19"/>
      <c r="N24" s="19"/>
      <c r="O24" s="19" t="n">
        <v>1.5</v>
      </c>
      <c r="P24" s="17" t="str">
        <f aca="false">IF(AND(N24&lt;&gt;"",O24&lt;&gt;"",I24&lt;&gt;"",I24&lt;&gt;0),N24/(O24*9.81*I24),"")</f>
        <v/>
      </c>
      <c r="Q24" s="19"/>
      <c r="R24" s="20"/>
    </row>
    <row r="25" customFormat="false" ht="15" hidden="false" customHeight="false" outlineLevel="0" collapsed="false">
      <c r="A25" s="11" t="n">
        <v>21</v>
      </c>
      <c r="B25" s="11" t="n">
        <v>248</v>
      </c>
      <c r="C25" s="11" t="n">
        <v>50</v>
      </c>
      <c r="D25" s="11" t="n">
        <v>3</v>
      </c>
      <c r="E25" s="11" t="n">
        <v>1</v>
      </c>
      <c r="F25" s="11" t="s">
        <v>61</v>
      </c>
      <c r="G25" s="11" t="n">
        <v>5</v>
      </c>
      <c r="H25" s="11" t="n">
        <v>10</v>
      </c>
      <c r="I25" s="16"/>
      <c r="J25" s="16"/>
      <c r="K25" s="17" t="str">
        <f aca="false">IF(AND(I25&lt;&gt;"",J25&lt;&gt;"",J25&lt;&gt;0),I25/J25,"")</f>
        <v/>
      </c>
      <c r="L25" s="16"/>
      <c r="M25" s="16"/>
      <c r="N25" s="16"/>
      <c r="O25" s="16" t="n">
        <v>1.5</v>
      </c>
      <c r="P25" s="17" t="str">
        <f aca="false">IF(AND(N25&lt;&gt;"",O25&lt;&gt;"",I25&lt;&gt;"",I25&lt;&gt;0),N25/(O25*9.81*I25),"")</f>
        <v/>
      </c>
      <c r="Q25" s="16"/>
      <c r="R25" s="18"/>
    </row>
    <row r="26" customFormat="false" ht="15" hidden="false" customHeight="false" outlineLevel="0" collapsed="false">
      <c r="A26" s="13" t="n">
        <v>22</v>
      </c>
      <c r="B26" s="13" t="n">
        <v>496</v>
      </c>
      <c r="C26" s="13" t="n">
        <v>100</v>
      </c>
      <c r="D26" s="13" t="n">
        <v>1</v>
      </c>
      <c r="E26" s="13" t="n">
        <v>2</v>
      </c>
      <c r="F26" s="13" t="s">
        <v>61</v>
      </c>
      <c r="G26" s="13" t="n">
        <v>2</v>
      </c>
      <c r="H26" s="13" t="n">
        <v>0</v>
      </c>
      <c r="I26" s="19"/>
      <c r="J26" s="19"/>
      <c r="K26" s="17" t="str">
        <f aca="false">IF(AND(I26&lt;&gt;"",J26&lt;&gt;"",J26&lt;&gt;0),I26/J26,"")</f>
        <v/>
      </c>
      <c r="L26" s="19"/>
      <c r="M26" s="19"/>
      <c r="N26" s="19"/>
      <c r="O26" s="19" t="n">
        <v>1.5</v>
      </c>
      <c r="P26" s="17" t="str">
        <f aca="false">IF(AND(N26&lt;&gt;"",O26&lt;&gt;"",I26&lt;&gt;"",I26&lt;&gt;0),N26/(O26*9.81*I26),"")</f>
        <v/>
      </c>
      <c r="Q26" s="19"/>
      <c r="R26" s="20"/>
    </row>
    <row r="27" customFormat="false" ht="15" hidden="false" customHeight="false" outlineLevel="0" collapsed="false">
      <c r="A27" s="11" t="n">
        <v>23</v>
      </c>
      <c r="B27" s="11" t="n">
        <v>388</v>
      </c>
      <c r="C27" s="11" t="n">
        <v>78</v>
      </c>
      <c r="D27" s="11" t="n">
        <v>3</v>
      </c>
      <c r="E27" s="11" t="n">
        <v>1.5</v>
      </c>
      <c r="F27" s="11" t="s">
        <v>61</v>
      </c>
      <c r="G27" s="11" t="n">
        <v>5</v>
      </c>
      <c r="H27" s="11" t="n">
        <v>20</v>
      </c>
      <c r="I27" s="16"/>
      <c r="J27" s="16"/>
      <c r="K27" s="17" t="str">
        <f aca="false">IF(AND(I27&lt;&gt;"",J27&lt;&gt;"",J27&lt;&gt;0),I27/J27,"")</f>
        <v/>
      </c>
      <c r="L27" s="16"/>
      <c r="M27" s="16"/>
      <c r="N27" s="16"/>
      <c r="O27" s="16" t="n">
        <v>1.5</v>
      </c>
      <c r="P27" s="17" t="str">
        <f aca="false">IF(AND(N27&lt;&gt;"",O27&lt;&gt;"",I27&lt;&gt;"",I27&lt;&gt;0),N27/(O27*9.81*I27),"")</f>
        <v/>
      </c>
      <c r="Q27" s="16"/>
      <c r="R27" s="18"/>
    </row>
    <row r="28" customFormat="false" ht="15" hidden="false" customHeight="false" outlineLevel="0" collapsed="false">
      <c r="A28" s="13" t="n">
        <v>24</v>
      </c>
      <c r="B28" s="13" t="n">
        <v>9</v>
      </c>
      <c r="C28" s="13" t="n">
        <v>2</v>
      </c>
      <c r="D28" s="13" t="n">
        <v>4</v>
      </c>
      <c r="E28" s="13" t="n">
        <v>0.5</v>
      </c>
      <c r="F28" s="13" t="s">
        <v>57</v>
      </c>
      <c r="G28" s="13" t="n">
        <v>2</v>
      </c>
      <c r="H28" s="13" t="n">
        <v>10</v>
      </c>
      <c r="I28" s="19"/>
      <c r="J28" s="19"/>
      <c r="K28" s="17" t="str">
        <f aca="false">IF(AND(I28&lt;&gt;"",J28&lt;&gt;"",J28&lt;&gt;0),I28/J28,"")</f>
        <v/>
      </c>
      <c r="L28" s="19"/>
      <c r="M28" s="19"/>
      <c r="N28" s="19"/>
      <c r="O28" s="19" t="n">
        <v>1.5</v>
      </c>
      <c r="P28" s="17" t="str">
        <f aca="false">IF(AND(N28&lt;&gt;"",O28&lt;&gt;"",I28&lt;&gt;"",I28&lt;&gt;0),N28/(O28*9.81*I28),"")</f>
        <v/>
      </c>
      <c r="Q28" s="19"/>
      <c r="R28" s="20"/>
    </row>
    <row r="29" customFormat="false" ht="15" hidden="false" customHeight="false" outlineLevel="0" collapsed="false">
      <c r="A29" s="11" t="n">
        <v>25</v>
      </c>
      <c r="B29" s="11" t="n">
        <v>523</v>
      </c>
      <c r="C29" s="11" t="n">
        <v>105</v>
      </c>
      <c r="D29" s="11" t="n">
        <v>3</v>
      </c>
      <c r="E29" s="11" t="n">
        <v>2</v>
      </c>
      <c r="F29" s="11" t="s">
        <v>61</v>
      </c>
      <c r="G29" s="11" t="n">
        <v>5</v>
      </c>
      <c r="H29" s="11" t="n">
        <v>20</v>
      </c>
      <c r="I29" s="16"/>
      <c r="J29" s="16"/>
      <c r="K29" s="17" t="str">
        <f aca="false">IF(AND(I29&lt;&gt;"",J29&lt;&gt;"",J29&lt;&gt;0),I29/J29,"")</f>
        <v/>
      </c>
      <c r="L29" s="16"/>
      <c r="M29" s="16"/>
      <c r="N29" s="16"/>
      <c r="O29" s="16" t="n">
        <v>1.5</v>
      </c>
      <c r="P29" s="17" t="str">
        <f aca="false">IF(AND(N29&lt;&gt;"",O29&lt;&gt;"",I29&lt;&gt;"",I29&lt;&gt;0),N29/(O29*9.81*I29),"")</f>
        <v/>
      </c>
      <c r="Q29" s="16"/>
      <c r="R29" s="18"/>
    </row>
    <row r="30" customFormat="false" ht="15" hidden="false" customHeight="false" outlineLevel="0" collapsed="false">
      <c r="A30" s="13" t="n">
        <v>26</v>
      </c>
      <c r="B30" s="13" t="n">
        <v>101</v>
      </c>
      <c r="C30" s="13" t="n">
        <v>21</v>
      </c>
      <c r="D30" s="13" t="n">
        <v>1</v>
      </c>
      <c r="E30" s="13" t="n">
        <v>0.5</v>
      </c>
      <c r="F30" s="13" t="s">
        <v>61</v>
      </c>
      <c r="G30" s="13" t="n">
        <v>2</v>
      </c>
      <c r="H30" s="13" t="n">
        <v>20</v>
      </c>
      <c r="I30" s="19"/>
      <c r="J30" s="19"/>
      <c r="K30" s="17" t="str">
        <f aca="false">IF(AND(I30&lt;&gt;"",J30&lt;&gt;"",J30&lt;&gt;0),I30/J30,"")</f>
        <v/>
      </c>
      <c r="L30" s="19"/>
      <c r="M30" s="19"/>
      <c r="N30" s="19"/>
      <c r="O30" s="19" t="n">
        <v>1.5</v>
      </c>
      <c r="P30" s="17" t="str">
        <f aca="false">IF(AND(N30&lt;&gt;"",O30&lt;&gt;"",I30&lt;&gt;"",I30&lt;&gt;0),N30/(O30*9.81*I30),"")</f>
        <v/>
      </c>
      <c r="Q30" s="19"/>
      <c r="R30" s="20"/>
    </row>
    <row r="31" customFormat="false" ht="15" hidden="false" customHeight="false" outlineLevel="0" collapsed="false">
      <c r="A31" s="11" t="n">
        <v>27</v>
      </c>
      <c r="B31" s="11" t="n">
        <v>69</v>
      </c>
      <c r="C31" s="11" t="n">
        <v>14</v>
      </c>
      <c r="D31" s="11" t="n">
        <v>4</v>
      </c>
      <c r="E31" s="11" t="n">
        <v>0.5</v>
      </c>
      <c r="F31" s="11" t="s">
        <v>59</v>
      </c>
      <c r="G31" s="11" t="n">
        <v>5</v>
      </c>
      <c r="H31" s="11" t="n">
        <v>10</v>
      </c>
      <c r="I31" s="16"/>
      <c r="J31" s="16"/>
      <c r="K31" s="17" t="str">
        <f aca="false">IF(AND(I31&lt;&gt;"",J31&lt;&gt;"",J31&lt;&gt;0),I31/J31,"")</f>
        <v/>
      </c>
      <c r="L31" s="16"/>
      <c r="M31" s="16"/>
      <c r="N31" s="16"/>
      <c r="O31" s="16" t="n">
        <v>1.5</v>
      </c>
      <c r="P31" s="17" t="str">
        <f aca="false">IF(AND(N31&lt;&gt;"",O31&lt;&gt;"",I31&lt;&gt;"",I31&lt;&gt;0),N31/(O31*9.81*I31),"")</f>
        <v/>
      </c>
      <c r="Q31" s="16"/>
      <c r="R31" s="18"/>
    </row>
    <row r="32" customFormat="false" ht="15" hidden="false" customHeight="false" outlineLevel="0" collapsed="false">
      <c r="A32" s="13" t="n">
        <v>28</v>
      </c>
      <c r="B32" s="13" t="n">
        <v>355</v>
      </c>
      <c r="C32" s="13" t="n">
        <v>71</v>
      </c>
      <c r="D32" s="13" t="n">
        <v>5</v>
      </c>
      <c r="E32" s="13" t="n">
        <v>1.5</v>
      </c>
      <c r="F32" s="13" t="s">
        <v>59</v>
      </c>
      <c r="G32" s="13" t="n">
        <v>10</v>
      </c>
      <c r="H32" s="13" t="n">
        <v>10</v>
      </c>
      <c r="I32" s="19"/>
      <c r="J32" s="19"/>
      <c r="K32" s="17" t="str">
        <f aca="false">IF(AND(I32&lt;&gt;"",J32&lt;&gt;"",J32&lt;&gt;0),I32/J32,"")</f>
        <v/>
      </c>
      <c r="L32" s="19"/>
      <c r="M32" s="19"/>
      <c r="N32" s="19"/>
      <c r="O32" s="19" t="n">
        <v>1.5</v>
      </c>
      <c r="P32" s="17" t="str">
        <f aca="false">IF(AND(N32&lt;&gt;"",O32&lt;&gt;"",I32&lt;&gt;"",I32&lt;&gt;0),N32/(O32*9.81*I32),"")</f>
        <v/>
      </c>
      <c r="Q32" s="19"/>
      <c r="R32" s="20"/>
    </row>
    <row r="33" customFormat="false" ht="15" hidden="false" customHeight="false" outlineLevel="0" collapsed="false">
      <c r="A33" s="11" t="n">
        <v>29</v>
      </c>
      <c r="B33" s="11" t="n">
        <v>297</v>
      </c>
      <c r="C33" s="11" t="n">
        <v>60</v>
      </c>
      <c r="D33" s="11" t="n">
        <v>2</v>
      </c>
      <c r="E33" s="11" t="n">
        <v>1.5</v>
      </c>
      <c r="F33" s="11" t="s">
        <v>57</v>
      </c>
      <c r="G33" s="11" t="n">
        <v>5</v>
      </c>
      <c r="H33" s="11" t="n">
        <v>20</v>
      </c>
      <c r="I33" s="16"/>
      <c r="J33" s="16"/>
      <c r="K33" s="17" t="str">
        <f aca="false">IF(AND(I33&lt;&gt;"",J33&lt;&gt;"",J33&lt;&gt;0),I33/J33,"")</f>
        <v/>
      </c>
      <c r="L33" s="16"/>
      <c r="M33" s="16"/>
      <c r="N33" s="16"/>
      <c r="O33" s="16" t="n">
        <v>1.5</v>
      </c>
      <c r="P33" s="17" t="str">
        <f aca="false">IF(AND(N33&lt;&gt;"",O33&lt;&gt;"",I33&lt;&gt;"",I33&lt;&gt;0),N33/(O33*9.81*I33),"")</f>
        <v/>
      </c>
      <c r="Q33" s="16"/>
      <c r="R33" s="18"/>
    </row>
    <row r="34" customFormat="false" ht="15" hidden="false" customHeight="false" outlineLevel="0" collapsed="false">
      <c r="A34" s="13" t="n">
        <v>30</v>
      </c>
      <c r="B34" s="13" t="n">
        <v>449</v>
      </c>
      <c r="C34" s="13" t="n">
        <v>90</v>
      </c>
      <c r="D34" s="13" t="n">
        <v>4</v>
      </c>
      <c r="E34" s="13" t="n">
        <v>2</v>
      </c>
      <c r="F34" s="13" t="s">
        <v>57</v>
      </c>
      <c r="G34" s="13" t="n">
        <v>10</v>
      </c>
      <c r="H34" s="13" t="n">
        <v>20</v>
      </c>
      <c r="I34" s="19"/>
      <c r="J34" s="19"/>
      <c r="K34" s="17" t="str">
        <f aca="false">IF(AND(I34&lt;&gt;"",J34&lt;&gt;"",J34&lt;&gt;0),I34/J34,"")</f>
        <v/>
      </c>
      <c r="L34" s="19"/>
      <c r="M34" s="19"/>
      <c r="N34" s="19"/>
      <c r="O34" s="19" t="n">
        <v>1.5</v>
      </c>
      <c r="P34" s="17" t="str">
        <f aca="false">IF(AND(N34&lt;&gt;"",O34&lt;&gt;"",I34&lt;&gt;"",I34&lt;&gt;0),N34/(O34*9.81*I34),"")</f>
        <v/>
      </c>
      <c r="Q34" s="19"/>
      <c r="R34" s="20"/>
    </row>
    <row r="35" customFormat="false" ht="15" hidden="false" customHeight="false" outlineLevel="0" collapsed="false">
      <c r="A35" s="11" t="n">
        <v>31</v>
      </c>
      <c r="B35" s="11" t="n">
        <v>87</v>
      </c>
      <c r="C35" s="11" t="n">
        <v>18</v>
      </c>
      <c r="D35" s="11" t="n">
        <v>2</v>
      </c>
      <c r="E35" s="11" t="n">
        <v>0.5</v>
      </c>
      <c r="F35" s="11" t="s">
        <v>59</v>
      </c>
      <c r="G35" s="11" t="n">
        <v>10</v>
      </c>
      <c r="H35" s="11" t="n">
        <v>20</v>
      </c>
      <c r="I35" s="16"/>
      <c r="J35" s="16"/>
      <c r="K35" s="17" t="str">
        <f aca="false">IF(AND(I35&lt;&gt;"",J35&lt;&gt;"",J35&lt;&gt;0),I35/J35,"")</f>
        <v/>
      </c>
      <c r="L35" s="16"/>
      <c r="M35" s="16"/>
      <c r="N35" s="16"/>
      <c r="O35" s="16" t="n">
        <v>1.5</v>
      </c>
      <c r="P35" s="17" t="str">
        <f aca="false">IF(AND(N35&lt;&gt;"",O35&lt;&gt;"",I35&lt;&gt;"",I35&lt;&gt;0),N35/(O35*9.81*I35),"")</f>
        <v/>
      </c>
      <c r="Q35" s="16"/>
      <c r="R35" s="18"/>
    </row>
    <row r="36" customFormat="false" ht="15" hidden="false" customHeight="false" outlineLevel="0" collapsed="false">
      <c r="A36" s="13" t="n">
        <v>32</v>
      </c>
      <c r="B36" s="13" t="n">
        <v>163</v>
      </c>
      <c r="C36" s="13" t="n">
        <v>33</v>
      </c>
      <c r="D36" s="13" t="n">
        <v>3</v>
      </c>
      <c r="E36" s="13" t="n">
        <v>1</v>
      </c>
      <c r="F36" s="13" t="s">
        <v>57</v>
      </c>
      <c r="G36" s="13" t="n">
        <v>5</v>
      </c>
      <c r="H36" s="13" t="n">
        <v>20</v>
      </c>
      <c r="I36" s="19"/>
      <c r="J36" s="19"/>
      <c r="K36" s="17" t="str">
        <f aca="false">IF(AND(I36&lt;&gt;"",J36&lt;&gt;"",J36&lt;&gt;0),I36/J36,"")</f>
        <v/>
      </c>
      <c r="L36" s="19"/>
      <c r="M36" s="19"/>
      <c r="N36" s="19"/>
      <c r="O36" s="19" t="n">
        <v>1.5</v>
      </c>
      <c r="P36" s="17" t="str">
        <f aca="false">IF(AND(N36&lt;&gt;"",O36&lt;&gt;"",I36&lt;&gt;"",I36&lt;&gt;0),N36/(O36*9.81*I36),"")</f>
        <v/>
      </c>
      <c r="Q36" s="19"/>
      <c r="R36" s="20"/>
    </row>
    <row r="37" customFormat="false" ht="15" hidden="false" customHeight="false" outlineLevel="0" collapsed="false">
      <c r="A37" s="11" t="n">
        <v>33</v>
      </c>
      <c r="B37" s="11" t="n">
        <v>505</v>
      </c>
      <c r="C37" s="11" t="n">
        <v>101</v>
      </c>
      <c r="D37" s="11" t="n">
        <v>5</v>
      </c>
      <c r="E37" s="11" t="n">
        <v>2</v>
      </c>
      <c r="F37" s="11" t="s">
        <v>61</v>
      </c>
      <c r="G37" s="11" t="n">
        <v>2</v>
      </c>
      <c r="H37" s="11" t="n">
        <v>10</v>
      </c>
      <c r="I37" s="16"/>
      <c r="J37" s="16"/>
      <c r="K37" s="17" t="str">
        <f aca="false">IF(AND(I37&lt;&gt;"",J37&lt;&gt;"",J37&lt;&gt;0),I37/J37,"")</f>
        <v/>
      </c>
      <c r="L37" s="16"/>
      <c r="M37" s="16"/>
      <c r="N37" s="16"/>
      <c r="O37" s="16" t="n">
        <v>1.5</v>
      </c>
      <c r="P37" s="17" t="str">
        <f aca="false">IF(AND(N37&lt;&gt;"",O37&lt;&gt;"",I37&lt;&gt;"",I37&lt;&gt;0),N37/(O37*9.81*I37),"")</f>
        <v/>
      </c>
      <c r="Q37" s="16"/>
      <c r="R37" s="18"/>
    </row>
    <row r="38" customFormat="false" ht="15" hidden="false" customHeight="false" outlineLevel="0" collapsed="false">
      <c r="A38" s="13" t="n">
        <v>34</v>
      </c>
      <c r="B38" s="13" t="n">
        <v>141</v>
      </c>
      <c r="C38" s="13" t="n">
        <v>29</v>
      </c>
      <c r="D38" s="13" t="n">
        <v>1</v>
      </c>
      <c r="E38" s="13" t="n">
        <v>1</v>
      </c>
      <c r="F38" s="13" t="s">
        <v>57</v>
      </c>
      <c r="G38" s="13" t="n">
        <v>2</v>
      </c>
      <c r="H38" s="13" t="n">
        <v>10</v>
      </c>
      <c r="I38" s="19"/>
      <c r="J38" s="19"/>
      <c r="K38" s="17" t="str">
        <f aca="false">IF(AND(I38&lt;&gt;"",J38&lt;&gt;"",J38&lt;&gt;0),I38/J38,"")</f>
        <v/>
      </c>
      <c r="L38" s="19"/>
      <c r="M38" s="19"/>
      <c r="N38" s="19"/>
      <c r="O38" s="19" t="n">
        <v>1.5</v>
      </c>
      <c r="P38" s="17" t="str">
        <f aca="false">IF(AND(N38&lt;&gt;"",O38&lt;&gt;"",I38&lt;&gt;"",I38&lt;&gt;0),N38/(O38*9.81*I38),"")</f>
        <v/>
      </c>
      <c r="Q38" s="19"/>
      <c r="R38" s="20"/>
    </row>
    <row r="39" customFormat="false" ht="15" hidden="false" customHeight="false" outlineLevel="0" collapsed="false">
      <c r="A39" s="11" t="n">
        <v>35</v>
      </c>
      <c r="B39" s="11" t="n">
        <v>519</v>
      </c>
      <c r="C39" s="11" t="n">
        <v>104</v>
      </c>
      <c r="D39" s="11" t="n">
        <v>4</v>
      </c>
      <c r="E39" s="11" t="n">
        <v>2</v>
      </c>
      <c r="F39" s="11" t="s">
        <v>61</v>
      </c>
      <c r="G39" s="11" t="n">
        <v>5</v>
      </c>
      <c r="H39" s="11" t="n">
        <v>10</v>
      </c>
      <c r="I39" s="16"/>
      <c r="J39" s="16"/>
      <c r="K39" s="17" t="str">
        <f aca="false">IF(AND(I39&lt;&gt;"",J39&lt;&gt;"",J39&lt;&gt;0),I39/J39,"")</f>
        <v/>
      </c>
      <c r="L39" s="16"/>
      <c r="M39" s="16"/>
      <c r="N39" s="16"/>
      <c r="O39" s="16" t="n">
        <v>1.5</v>
      </c>
      <c r="P39" s="17" t="str">
        <f aca="false">IF(AND(N39&lt;&gt;"",O39&lt;&gt;"",I39&lt;&gt;"",I39&lt;&gt;0),N39/(O39*9.81*I39),"")</f>
        <v/>
      </c>
      <c r="Q39" s="16"/>
      <c r="R39" s="18"/>
    </row>
    <row r="40" customFormat="false" ht="15" hidden="false" customHeight="false" outlineLevel="0" collapsed="false">
      <c r="A40" s="13" t="n">
        <v>36</v>
      </c>
      <c r="B40" s="13" t="n">
        <v>148</v>
      </c>
      <c r="C40" s="13" t="n">
        <v>30</v>
      </c>
      <c r="D40" s="13" t="n">
        <v>3</v>
      </c>
      <c r="E40" s="13" t="n">
        <v>1</v>
      </c>
      <c r="F40" s="13" t="s">
        <v>57</v>
      </c>
      <c r="G40" s="13" t="n">
        <v>2</v>
      </c>
      <c r="H40" s="13" t="n">
        <v>20</v>
      </c>
      <c r="I40" s="19"/>
      <c r="J40" s="19"/>
      <c r="K40" s="17" t="str">
        <f aca="false">IF(AND(I40&lt;&gt;"",J40&lt;&gt;"",J40&lt;&gt;0),I40/J40,"")</f>
        <v/>
      </c>
      <c r="L40" s="19"/>
      <c r="M40" s="19"/>
      <c r="N40" s="19"/>
      <c r="O40" s="19" t="n">
        <v>1.5</v>
      </c>
      <c r="P40" s="17" t="str">
        <f aca="false">IF(AND(N40&lt;&gt;"",O40&lt;&gt;"",I40&lt;&gt;"",I40&lt;&gt;0),N40/(O40*9.81*I40),"")</f>
        <v/>
      </c>
      <c r="Q40" s="19"/>
      <c r="R40" s="20"/>
    </row>
    <row r="41" customFormat="false" ht="15" hidden="false" customHeight="false" outlineLevel="0" collapsed="false">
      <c r="A41" s="11" t="n">
        <v>37</v>
      </c>
      <c r="B41" s="11" t="n">
        <v>447</v>
      </c>
      <c r="C41" s="11" t="n">
        <v>90</v>
      </c>
      <c r="D41" s="11" t="n">
        <v>2</v>
      </c>
      <c r="E41" s="11" t="n">
        <v>2</v>
      </c>
      <c r="F41" s="11" t="s">
        <v>57</v>
      </c>
      <c r="G41" s="11" t="n">
        <v>10</v>
      </c>
      <c r="H41" s="11" t="n">
        <v>20</v>
      </c>
      <c r="I41" s="16"/>
      <c r="J41" s="16"/>
      <c r="K41" s="17" t="str">
        <f aca="false">IF(AND(I41&lt;&gt;"",J41&lt;&gt;"",J41&lt;&gt;0),I41/J41,"")</f>
        <v/>
      </c>
      <c r="L41" s="16"/>
      <c r="M41" s="16"/>
      <c r="N41" s="16"/>
      <c r="O41" s="16" t="n">
        <v>1.5</v>
      </c>
      <c r="P41" s="17" t="str">
        <f aca="false">IF(AND(N41&lt;&gt;"",O41&lt;&gt;"",I41&lt;&gt;"",I41&lt;&gt;0),N41/(O41*9.81*I41),"")</f>
        <v/>
      </c>
      <c r="Q41" s="16"/>
      <c r="R41" s="18"/>
    </row>
    <row r="42" customFormat="false" ht="15" hidden="false" customHeight="false" outlineLevel="0" collapsed="false">
      <c r="A42" s="13" t="n">
        <v>38</v>
      </c>
      <c r="B42" s="13" t="n">
        <v>38</v>
      </c>
      <c r="C42" s="13" t="n">
        <v>8</v>
      </c>
      <c r="D42" s="13" t="n">
        <v>3</v>
      </c>
      <c r="E42" s="13" t="n">
        <v>0.5</v>
      </c>
      <c r="F42" s="13" t="s">
        <v>57</v>
      </c>
      <c r="G42" s="13" t="n">
        <v>10</v>
      </c>
      <c r="H42" s="13" t="n">
        <v>10</v>
      </c>
      <c r="I42" s="19"/>
      <c r="J42" s="19"/>
      <c r="K42" s="17" t="str">
        <f aca="false">IF(AND(I42&lt;&gt;"",J42&lt;&gt;"",J42&lt;&gt;0),I42/J42,"")</f>
        <v/>
      </c>
      <c r="L42" s="19"/>
      <c r="M42" s="19"/>
      <c r="N42" s="19"/>
      <c r="O42" s="19" t="n">
        <v>1.5</v>
      </c>
      <c r="P42" s="17" t="str">
        <f aca="false">IF(AND(N42&lt;&gt;"",O42&lt;&gt;"",I42&lt;&gt;"",I42&lt;&gt;0),N42/(O42*9.81*I42),"")</f>
        <v/>
      </c>
      <c r="Q42" s="19"/>
      <c r="R42" s="20"/>
    </row>
    <row r="43" customFormat="false" ht="15" hidden="false" customHeight="false" outlineLevel="0" collapsed="false">
      <c r="A43" s="11" t="n">
        <v>39</v>
      </c>
      <c r="B43" s="11" t="n">
        <v>12</v>
      </c>
      <c r="C43" s="11" t="n">
        <v>3</v>
      </c>
      <c r="D43" s="11" t="n">
        <v>2</v>
      </c>
      <c r="E43" s="11" t="n">
        <v>0.5</v>
      </c>
      <c r="F43" s="11" t="s">
        <v>57</v>
      </c>
      <c r="G43" s="11" t="n">
        <v>2</v>
      </c>
      <c r="H43" s="11" t="n">
        <v>20</v>
      </c>
      <c r="I43" s="16"/>
      <c r="J43" s="16"/>
      <c r="K43" s="17" t="str">
        <f aca="false">IF(AND(I43&lt;&gt;"",J43&lt;&gt;"",J43&lt;&gt;0),I43/J43,"")</f>
        <v/>
      </c>
      <c r="L43" s="16"/>
      <c r="M43" s="16"/>
      <c r="N43" s="16"/>
      <c r="O43" s="16" t="n">
        <v>1.5</v>
      </c>
      <c r="P43" s="17" t="str">
        <f aca="false">IF(AND(N43&lt;&gt;"",O43&lt;&gt;"",I43&lt;&gt;"",I43&lt;&gt;0),N43/(O43*9.81*I43),"")</f>
        <v/>
      </c>
      <c r="Q43" s="16"/>
      <c r="R43" s="18"/>
    </row>
    <row r="44" customFormat="false" ht="15" hidden="false" customHeight="false" outlineLevel="0" collapsed="false">
      <c r="A44" s="13" t="n">
        <v>40</v>
      </c>
      <c r="B44" s="13" t="n">
        <v>295</v>
      </c>
      <c r="C44" s="13" t="n">
        <v>59</v>
      </c>
      <c r="D44" s="13" t="n">
        <v>5</v>
      </c>
      <c r="E44" s="13" t="n">
        <v>1.5</v>
      </c>
      <c r="F44" s="13" t="s">
        <v>57</v>
      </c>
      <c r="G44" s="13" t="n">
        <v>5</v>
      </c>
      <c r="H44" s="13" t="n">
        <v>10</v>
      </c>
      <c r="I44" s="19"/>
      <c r="J44" s="19"/>
      <c r="K44" s="17" t="str">
        <f aca="false">IF(AND(I44&lt;&gt;"",J44&lt;&gt;"",J44&lt;&gt;0),I44/J44,"")</f>
        <v/>
      </c>
      <c r="L44" s="19"/>
      <c r="M44" s="19"/>
      <c r="N44" s="19"/>
      <c r="O44" s="19" t="n">
        <v>1.5</v>
      </c>
      <c r="P44" s="17" t="str">
        <f aca="false">IF(AND(N44&lt;&gt;"",O44&lt;&gt;"",I44&lt;&gt;"",I44&lt;&gt;0),N44/(O44*9.81*I44),"")</f>
        <v/>
      </c>
      <c r="Q44" s="19"/>
      <c r="R44" s="20"/>
    </row>
    <row r="45" customFormat="false" ht="15" hidden="false" customHeight="false" outlineLevel="0" collapsed="false">
      <c r="A45" s="11" t="n">
        <v>41</v>
      </c>
      <c r="B45" s="11" t="n">
        <v>365</v>
      </c>
      <c r="C45" s="11" t="n">
        <v>73</v>
      </c>
      <c r="D45" s="11" t="n">
        <v>5</v>
      </c>
      <c r="E45" s="11" t="n">
        <v>1.5</v>
      </c>
      <c r="F45" s="11" t="s">
        <v>61</v>
      </c>
      <c r="G45" s="11" t="n">
        <v>2</v>
      </c>
      <c r="H45" s="11" t="n">
        <v>0</v>
      </c>
      <c r="I45" s="16"/>
      <c r="J45" s="16"/>
      <c r="K45" s="17" t="str">
        <f aca="false">IF(AND(I45&lt;&gt;"",J45&lt;&gt;"",J45&lt;&gt;0),I45/J45,"")</f>
        <v/>
      </c>
      <c r="L45" s="16"/>
      <c r="M45" s="16"/>
      <c r="N45" s="16"/>
      <c r="O45" s="16" t="n">
        <v>1.5</v>
      </c>
      <c r="P45" s="17" t="str">
        <f aca="false">IF(AND(N45&lt;&gt;"",O45&lt;&gt;"",I45&lt;&gt;"",I45&lt;&gt;0),N45/(O45*9.81*I45),"")</f>
        <v/>
      </c>
      <c r="Q45" s="16"/>
      <c r="R45" s="18"/>
    </row>
    <row r="46" customFormat="false" ht="15" hidden="false" customHeight="false" outlineLevel="0" collapsed="false">
      <c r="A46" s="13" t="n">
        <v>42</v>
      </c>
      <c r="B46" s="13" t="n">
        <v>512</v>
      </c>
      <c r="C46" s="13" t="n">
        <v>103</v>
      </c>
      <c r="D46" s="13" t="n">
        <v>2</v>
      </c>
      <c r="E46" s="13" t="n">
        <v>2</v>
      </c>
      <c r="F46" s="13" t="s">
        <v>61</v>
      </c>
      <c r="G46" s="13" t="n">
        <v>5</v>
      </c>
      <c r="H46" s="13" t="n">
        <v>0</v>
      </c>
      <c r="I46" s="19"/>
      <c r="J46" s="19"/>
      <c r="K46" s="17" t="str">
        <f aca="false">IF(AND(I46&lt;&gt;"",J46&lt;&gt;"",J46&lt;&gt;0),I46/J46,"")</f>
        <v/>
      </c>
      <c r="L46" s="19"/>
      <c r="M46" s="19"/>
      <c r="N46" s="19"/>
      <c r="O46" s="19" t="n">
        <v>1.5</v>
      </c>
      <c r="P46" s="17" t="str">
        <f aca="false">IF(AND(N46&lt;&gt;"",O46&lt;&gt;"",I46&lt;&gt;"",I46&lt;&gt;0),N46/(O46*9.81*I46),"")</f>
        <v/>
      </c>
      <c r="Q46" s="19"/>
      <c r="R46" s="20"/>
    </row>
    <row r="47" customFormat="false" ht="15" hidden="false" customHeight="false" outlineLevel="0" collapsed="false">
      <c r="A47" s="11" t="n">
        <v>43</v>
      </c>
      <c r="B47" s="11" t="n">
        <v>375</v>
      </c>
      <c r="C47" s="11" t="n">
        <v>75</v>
      </c>
      <c r="D47" s="11" t="n">
        <v>5</v>
      </c>
      <c r="E47" s="11" t="n">
        <v>1.5</v>
      </c>
      <c r="F47" s="11" t="s">
        <v>61</v>
      </c>
      <c r="G47" s="11" t="n">
        <v>2</v>
      </c>
      <c r="H47" s="11" t="n">
        <v>20</v>
      </c>
      <c r="I47" s="16"/>
      <c r="J47" s="16"/>
      <c r="K47" s="17" t="str">
        <f aca="false">IF(AND(I47&lt;&gt;"",J47&lt;&gt;"",J47&lt;&gt;0),I47/J47,"")</f>
        <v/>
      </c>
      <c r="L47" s="16"/>
      <c r="M47" s="16"/>
      <c r="N47" s="16"/>
      <c r="O47" s="16" t="n">
        <v>1.5</v>
      </c>
      <c r="P47" s="17" t="str">
        <f aca="false">IF(AND(N47&lt;&gt;"",O47&lt;&gt;"",I47&lt;&gt;"",I47&lt;&gt;0),N47/(O47*9.81*I47),"")</f>
        <v/>
      </c>
      <c r="Q47" s="16"/>
      <c r="R47" s="18"/>
    </row>
    <row r="48" customFormat="false" ht="15" hidden="false" customHeight="false" outlineLevel="0" collapsed="false">
      <c r="A48" s="13" t="n">
        <v>44</v>
      </c>
      <c r="B48" s="13" t="n">
        <v>234</v>
      </c>
      <c r="C48" s="13" t="n">
        <v>47</v>
      </c>
      <c r="D48" s="13" t="n">
        <v>4</v>
      </c>
      <c r="E48" s="13" t="n">
        <v>1</v>
      </c>
      <c r="F48" s="13" t="s">
        <v>61</v>
      </c>
      <c r="G48" s="13" t="n">
        <v>2</v>
      </c>
      <c r="H48" s="13" t="n">
        <v>10</v>
      </c>
      <c r="I48" s="19"/>
      <c r="J48" s="19"/>
      <c r="K48" s="17" t="str">
        <f aca="false">IF(AND(I48&lt;&gt;"",J48&lt;&gt;"",J48&lt;&gt;0),I48/J48,"")</f>
        <v/>
      </c>
      <c r="L48" s="19"/>
      <c r="M48" s="19"/>
      <c r="N48" s="19"/>
      <c r="O48" s="19" t="n">
        <v>1.5</v>
      </c>
      <c r="P48" s="17" t="str">
        <f aca="false">IF(AND(N48&lt;&gt;"",O48&lt;&gt;"",I48&lt;&gt;"",I48&lt;&gt;0),N48/(O48*9.81*I48),"")</f>
        <v/>
      </c>
      <c r="Q48" s="19"/>
      <c r="R48" s="20"/>
    </row>
    <row r="49" customFormat="false" ht="15" hidden="false" customHeight="false" outlineLevel="0" collapsed="false">
      <c r="A49" s="11" t="n">
        <v>45</v>
      </c>
      <c r="B49" s="11" t="n">
        <v>337</v>
      </c>
      <c r="C49" s="11" t="n">
        <v>68</v>
      </c>
      <c r="D49" s="11" t="n">
        <v>2</v>
      </c>
      <c r="E49" s="11" t="n">
        <v>1.5</v>
      </c>
      <c r="F49" s="11" t="s">
        <v>59</v>
      </c>
      <c r="G49" s="11" t="n">
        <v>5</v>
      </c>
      <c r="H49" s="11" t="n">
        <v>10</v>
      </c>
      <c r="I49" s="16"/>
      <c r="J49" s="16"/>
      <c r="K49" s="17" t="str">
        <f aca="false">IF(AND(I49&lt;&gt;"",J49&lt;&gt;"",J49&lt;&gt;0),I49/J49,"")</f>
        <v/>
      </c>
      <c r="L49" s="16"/>
      <c r="M49" s="16"/>
      <c r="N49" s="16"/>
      <c r="O49" s="16" t="n">
        <v>1.5</v>
      </c>
      <c r="P49" s="17" t="str">
        <f aca="false">IF(AND(N49&lt;&gt;"",O49&lt;&gt;"",I49&lt;&gt;"",I49&lt;&gt;0),N49/(O49*9.81*I49),"")</f>
        <v/>
      </c>
      <c r="Q49" s="16"/>
      <c r="R49" s="18"/>
    </row>
    <row r="50" customFormat="false" ht="15" hidden="false" customHeight="false" outlineLevel="0" collapsed="false">
      <c r="A50" s="13" t="n">
        <v>46</v>
      </c>
      <c r="B50" s="13" t="n">
        <v>152</v>
      </c>
      <c r="C50" s="13" t="n">
        <v>31</v>
      </c>
      <c r="D50" s="13" t="n">
        <v>2</v>
      </c>
      <c r="E50" s="13" t="n">
        <v>1</v>
      </c>
      <c r="F50" s="13" t="s">
        <v>57</v>
      </c>
      <c r="G50" s="13" t="n">
        <v>5</v>
      </c>
      <c r="H50" s="13" t="n">
        <v>0</v>
      </c>
      <c r="I50" s="19"/>
      <c r="J50" s="19"/>
      <c r="K50" s="17" t="str">
        <f aca="false">IF(AND(I50&lt;&gt;"",J50&lt;&gt;"",J50&lt;&gt;0),I50/J50,"")</f>
        <v/>
      </c>
      <c r="L50" s="19"/>
      <c r="M50" s="19"/>
      <c r="N50" s="19"/>
      <c r="O50" s="19" t="n">
        <v>1.5</v>
      </c>
      <c r="P50" s="17" t="str">
        <f aca="false">IF(AND(N50&lt;&gt;"",O50&lt;&gt;"",I50&lt;&gt;"",I50&lt;&gt;0),N50/(O50*9.81*I50),"")</f>
        <v/>
      </c>
      <c r="Q50" s="19"/>
      <c r="R50" s="20"/>
    </row>
    <row r="51" customFormat="false" ht="15" hidden="false" customHeight="false" outlineLevel="0" collapsed="false">
      <c r="A51" s="11" t="n">
        <v>47</v>
      </c>
      <c r="B51" s="11" t="n">
        <v>357</v>
      </c>
      <c r="C51" s="11" t="n">
        <v>72</v>
      </c>
      <c r="D51" s="11" t="n">
        <v>2</v>
      </c>
      <c r="E51" s="11" t="n">
        <v>1.5</v>
      </c>
      <c r="F51" s="11" t="s">
        <v>59</v>
      </c>
      <c r="G51" s="11" t="n">
        <v>10</v>
      </c>
      <c r="H51" s="11" t="n">
        <v>20</v>
      </c>
      <c r="I51" s="16"/>
      <c r="J51" s="16"/>
      <c r="K51" s="17" t="str">
        <f aca="false">IF(AND(I51&lt;&gt;"",J51&lt;&gt;"",J51&lt;&gt;0),I51/J51,"")</f>
        <v/>
      </c>
      <c r="L51" s="16"/>
      <c r="M51" s="16"/>
      <c r="N51" s="16"/>
      <c r="O51" s="16" t="n">
        <v>1.5</v>
      </c>
      <c r="P51" s="17" t="str">
        <f aca="false">IF(AND(N51&lt;&gt;"",O51&lt;&gt;"",I51&lt;&gt;"",I51&lt;&gt;0),N51/(O51*9.81*I51),"")</f>
        <v/>
      </c>
      <c r="Q51" s="16"/>
      <c r="R51" s="18"/>
    </row>
    <row r="52" customFormat="false" ht="15" hidden="false" customHeight="false" outlineLevel="0" collapsed="false">
      <c r="A52" s="13" t="n">
        <v>48</v>
      </c>
      <c r="B52" s="13" t="n">
        <v>42</v>
      </c>
      <c r="C52" s="13" t="n">
        <v>9</v>
      </c>
      <c r="D52" s="13" t="n">
        <v>2</v>
      </c>
      <c r="E52" s="13" t="n">
        <v>0.5</v>
      </c>
      <c r="F52" s="13" t="s">
        <v>57</v>
      </c>
      <c r="G52" s="13" t="n">
        <v>10</v>
      </c>
      <c r="H52" s="13" t="n">
        <v>20</v>
      </c>
      <c r="I52" s="19"/>
      <c r="J52" s="19"/>
      <c r="K52" s="17" t="str">
        <f aca="false">IF(AND(I52&lt;&gt;"",J52&lt;&gt;"",J52&lt;&gt;0),I52/J52,"")</f>
        <v/>
      </c>
      <c r="L52" s="19"/>
      <c r="M52" s="19"/>
      <c r="N52" s="19"/>
      <c r="O52" s="19" t="n">
        <v>1.5</v>
      </c>
      <c r="P52" s="17" t="str">
        <f aca="false">IF(AND(N52&lt;&gt;"",O52&lt;&gt;"",I52&lt;&gt;"",I52&lt;&gt;0),N52/(O52*9.81*I52),"")</f>
        <v/>
      </c>
      <c r="Q52" s="19"/>
      <c r="R52" s="20"/>
    </row>
    <row r="53" customFormat="false" ht="15" hidden="false" customHeight="false" outlineLevel="0" collapsed="false">
      <c r="A53" s="11" t="n">
        <v>49</v>
      </c>
      <c r="B53" s="11" t="n">
        <v>466</v>
      </c>
      <c r="C53" s="11" t="n">
        <v>94</v>
      </c>
      <c r="D53" s="11" t="n">
        <v>1</v>
      </c>
      <c r="E53" s="11" t="n">
        <v>2</v>
      </c>
      <c r="F53" s="11" t="s">
        <v>59</v>
      </c>
      <c r="G53" s="11" t="n">
        <v>5</v>
      </c>
      <c r="H53" s="11" t="n">
        <v>0</v>
      </c>
      <c r="I53" s="16"/>
      <c r="J53" s="16"/>
      <c r="K53" s="17" t="str">
        <f aca="false">IF(AND(I53&lt;&gt;"",J53&lt;&gt;"",J53&lt;&gt;0),I53/J53,"")</f>
        <v/>
      </c>
      <c r="L53" s="16"/>
      <c r="M53" s="16"/>
      <c r="N53" s="16"/>
      <c r="O53" s="16" t="n">
        <v>1.5</v>
      </c>
      <c r="P53" s="17" t="str">
        <f aca="false">IF(AND(N53&lt;&gt;"",O53&lt;&gt;"",I53&lt;&gt;"",I53&lt;&gt;0),N53/(O53*9.81*I53),"")</f>
        <v/>
      </c>
      <c r="Q53" s="16"/>
      <c r="R53" s="18"/>
    </row>
    <row r="54" customFormat="false" ht="15" hidden="false" customHeight="false" outlineLevel="0" collapsed="false">
      <c r="A54" s="13" t="n">
        <v>50</v>
      </c>
      <c r="B54" s="13" t="n">
        <v>156</v>
      </c>
      <c r="C54" s="13" t="n">
        <v>32</v>
      </c>
      <c r="D54" s="13" t="n">
        <v>1</v>
      </c>
      <c r="E54" s="13" t="n">
        <v>1</v>
      </c>
      <c r="F54" s="13" t="s">
        <v>57</v>
      </c>
      <c r="G54" s="13" t="n">
        <v>5</v>
      </c>
      <c r="H54" s="13" t="n">
        <v>10</v>
      </c>
      <c r="I54" s="19"/>
      <c r="J54" s="19"/>
      <c r="K54" s="17" t="str">
        <f aca="false">IF(AND(I54&lt;&gt;"",J54&lt;&gt;"",J54&lt;&gt;0),I54/J54,"")</f>
        <v/>
      </c>
      <c r="L54" s="19"/>
      <c r="M54" s="19"/>
      <c r="N54" s="19"/>
      <c r="O54" s="19" t="n">
        <v>1.5</v>
      </c>
      <c r="P54" s="17" t="str">
        <f aca="false">IF(AND(N54&lt;&gt;"",O54&lt;&gt;"",I54&lt;&gt;"",I54&lt;&gt;0),N54/(O54*9.81*I54),"")</f>
        <v/>
      </c>
      <c r="Q54" s="19"/>
      <c r="R54" s="20"/>
    </row>
    <row r="55" customFormat="false" ht="15" hidden="false" customHeight="false" outlineLevel="0" collapsed="false">
      <c r="A55" s="11" t="n">
        <v>51</v>
      </c>
      <c r="B55" s="11" t="n">
        <v>493</v>
      </c>
      <c r="C55" s="11" t="n">
        <v>99</v>
      </c>
      <c r="D55" s="11" t="n">
        <v>3</v>
      </c>
      <c r="E55" s="11" t="n">
        <v>2</v>
      </c>
      <c r="F55" s="11" t="s">
        <v>59</v>
      </c>
      <c r="G55" s="11" t="n">
        <v>10</v>
      </c>
      <c r="H55" s="11" t="n">
        <v>20</v>
      </c>
      <c r="I55" s="16"/>
      <c r="J55" s="16"/>
      <c r="K55" s="17" t="str">
        <f aca="false">IF(AND(I55&lt;&gt;"",J55&lt;&gt;"",J55&lt;&gt;0),I55/J55,"")</f>
        <v/>
      </c>
      <c r="L55" s="16"/>
      <c r="M55" s="16"/>
      <c r="N55" s="16"/>
      <c r="O55" s="16" t="n">
        <v>1.5</v>
      </c>
      <c r="P55" s="17" t="str">
        <f aca="false">IF(AND(N55&lt;&gt;"",O55&lt;&gt;"",I55&lt;&gt;"",I55&lt;&gt;0),N55/(O55*9.81*I55),"")</f>
        <v/>
      </c>
      <c r="Q55" s="16"/>
      <c r="R55" s="18"/>
    </row>
    <row r="56" customFormat="false" ht="15" hidden="false" customHeight="false" outlineLevel="0" collapsed="false">
      <c r="A56" s="13" t="n">
        <v>52</v>
      </c>
      <c r="B56" s="13" t="n">
        <v>106</v>
      </c>
      <c r="C56" s="13" t="n">
        <v>22</v>
      </c>
      <c r="D56" s="13" t="n">
        <v>1</v>
      </c>
      <c r="E56" s="13" t="n">
        <v>0.5</v>
      </c>
      <c r="F56" s="13" t="s">
        <v>61</v>
      </c>
      <c r="G56" s="13" t="n">
        <v>5</v>
      </c>
      <c r="H56" s="13" t="n">
        <v>0</v>
      </c>
      <c r="I56" s="19"/>
      <c r="J56" s="19"/>
      <c r="K56" s="17" t="str">
        <f aca="false">IF(AND(I56&lt;&gt;"",J56&lt;&gt;"",J56&lt;&gt;0),I56/J56,"")</f>
        <v/>
      </c>
      <c r="L56" s="19"/>
      <c r="M56" s="19"/>
      <c r="N56" s="19"/>
      <c r="O56" s="19" t="n">
        <v>1.5</v>
      </c>
      <c r="P56" s="17" t="str">
        <f aca="false">IF(AND(N56&lt;&gt;"",O56&lt;&gt;"",I56&lt;&gt;"",I56&lt;&gt;0),N56/(O56*9.81*I56),"")</f>
        <v/>
      </c>
      <c r="Q56" s="19"/>
      <c r="R56" s="20"/>
    </row>
    <row r="57" customFormat="false" ht="15" hidden="false" customHeight="false" outlineLevel="0" collapsed="false">
      <c r="A57" s="11" t="n">
        <v>53</v>
      </c>
      <c r="B57" s="11" t="n">
        <v>157</v>
      </c>
      <c r="C57" s="11" t="n">
        <v>32</v>
      </c>
      <c r="D57" s="11" t="n">
        <v>2</v>
      </c>
      <c r="E57" s="11" t="n">
        <v>1</v>
      </c>
      <c r="F57" s="11" t="s">
        <v>57</v>
      </c>
      <c r="G57" s="11" t="n">
        <v>5</v>
      </c>
      <c r="H57" s="11" t="n">
        <v>10</v>
      </c>
      <c r="I57" s="16"/>
      <c r="J57" s="16"/>
      <c r="K57" s="17" t="str">
        <f aca="false">IF(AND(I57&lt;&gt;"",J57&lt;&gt;"",J57&lt;&gt;0),I57/J57,"")</f>
        <v/>
      </c>
      <c r="L57" s="16"/>
      <c r="M57" s="16"/>
      <c r="N57" s="16"/>
      <c r="O57" s="16" t="n">
        <v>1.5</v>
      </c>
      <c r="P57" s="17" t="str">
        <f aca="false">IF(AND(N57&lt;&gt;"",O57&lt;&gt;"",I57&lt;&gt;"",I57&lt;&gt;0),N57/(O57*9.81*I57),"")</f>
        <v/>
      </c>
      <c r="Q57" s="16"/>
      <c r="R57" s="18"/>
    </row>
    <row r="58" customFormat="false" ht="15" hidden="false" customHeight="false" outlineLevel="0" collapsed="false">
      <c r="A58" s="13" t="n">
        <v>54</v>
      </c>
      <c r="B58" s="13" t="n">
        <v>22</v>
      </c>
      <c r="C58" s="13" t="n">
        <v>5</v>
      </c>
      <c r="D58" s="13" t="n">
        <v>2</v>
      </c>
      <c r="E58" s="13" t="n">
        <v>0.5</v>
      </c>
      <c r="F58" s="13" t="s">
        <v>57</v>
      </c>
      <c r="G58" s="13" t="n">
        <v>5</v>
      </c>
      <c r="H58" s="13" t="n">
        <v>10</v>
      </c>
      <c r="I58" s="19"/>
      <c r="J58" s="19"/>
      <c r="K58" s="17" t="str">
        <f aca="false">IF(AND(I58&lt;&gt;"",J58&lt;&gt;"",J58&lt;&gt;0),I58/J58,"")</f>
        <v/>
      </c>
      <c r="L58" s="19"/>
      <c r="M58" s="19"/>
      <c r="N58" s="19"/>
      <c r="O58" s="19" t="n">
        <v>1.5</v>
      </c>
      <c r="P58" s="17" t="str">
        <f aca="false">IF(AND(N58&lt;&gt;"",O58&lt;&gt;"",I58&lt;&gt;"",I58&lt;&gt;0),N58/(O58*9.81*I58),"")</f>
        <v/>
      </c>
      <c r="Q58" s="19"/>
      <c r="R58" s="20"/>
    </row>
    <row r="59" customFormat="false" ht="15" hidden="false" customHeight="false" outlineLevel="0" collapsed="false">
      <c r="A59" s="11" t="n">
        <v>55</v>
      </c>
      <c r="B59" s="11" t="n">
        <v>183</v>
      </c>
      <c r="C59" s="11" t="n">
        <v>37</v>
      </c>
      <c r="D59" s="11" t="n">
        <v>3</v>
      </c>
      <c r="E59" s="11" t="n">
        <v>1</v>
      </c>
      <c r="F59" s="11" t="s">
        <v>59</v>
      </c>
      <c r="G59" s="11" t="n">
        <v>2</v>
      </c>
      <c r="H59" s="11" t="n">
        <v>0</v>
      </c>
      <c r="I59" s="16"/>
      <c r="J59" s="16"/>
      <c r="K59" s="17" t="str">
        <f aca="false">IF(AND(I59&lt;&gt;"",J59&lt;&gt;"",J59&lt;&gt;0),I59/J59,"")</f>
        <v/>
      </c>
      <c r="L59" s="16"/>
      <c r="M59" s="16"/>
      <c r="N59" s="16"/>
      <c r="O59" s="16" t="n">
        <v>1.5</v>
      </c>
      <c r="P59" s="17" t="str">
        <f aca="false">IF(AND(N59&lt;&gt;"",O59&lt;&gt;"",I59&lt;&gt;"",I59&lt;&gt;0),N59/(O59*9.81*I59),"")</f>
        <v/>
      </c>
      <c r="Q59" s="16"/>
      <c r="R59" s="18"/>
    </row>
    <row r="60" customFormat="false" ht="15" hidden="false" customHeight="false" outlineLevel="0" collapsed="false">
      <c r="A60" s="13" t="n">
        <v>56</v>
      </c>
      <c r="B60" s="13" t="n">
        <v>213</v>
      </c>
      <c r="C60" s="13" t="n">
        <v>43</v>
      </c>
      <c r="D60" s="13" t="n">
        <v>3</v>
      </c>
      <c r="E60" s="13" t="n">
        <v>1</v>
      </c>
      <c r="F60" s="13" t="s">
        <v>59</v>
      </c>
      <c r="G60" s="13" t="n">
        <v>10</v>
      </c>
      <c r="H60" s="13" t="n">
        <v>0</v>
      </c>
      <c r="I60" s="19"/>
      <c r="J60" s="19"/>
      <c r="K60" s="17" t="str">
        <f aca="false">IF(AND(I60&lt;&gt;"",J60&lt;&gt;"",J60&lt;&gt;0),I60/J60,"")</f>
        <v/>
      </c>
      <c r="L60" s="19"/>
      <c r="M60" s="19"/>
      <c r="N60" s="19"/>
      <c r="O60" s="19" t="n">
        <v>1.5</v>
      </c>
      <c r="P60" s="17" t="str">
        <f aca="false">IF(AND(N60&lt;&gt;"",O60&lt;&gt;"",I60&lt;&gt;"",I60&lt;&gt;0),N60/(O60*9.81*I60),"")</f>
        <v/>
      </c>
      <c r="Q60" s="19"/>
      <c r="R60" s="20"/>
    </row>
    <row r="61" customFormat="false" ht="15" hidden="false" customHeight="false" outlineLevel="0" collapsed="false">
      <c r="A61" s="11" t="n">
        <v>57</v>
      </c>
      <c r="B61" s="11" t="n">
        <v>437</v>
      </c>
      <c r="C61" s="11" t="n">
        <v>88</v>
      </c>
      <c r="D61" s="11" t="n">
        <v>2</v>
      </c>
      <c r="E61" s="11" t="n">
        <v>2</v>
      </c>
      <c r="F61" s="11" t="s">
        <v>57</v>
      </c>
      <c r="G61" s="11" t="n">
        <v>10</v>
      </c>
      <c r="H61" s="11" t="n">
        <v>0</v>
      </c>
      <c r="I61" s="16"/>
      <c r="J61" s="16"/>
      <c r="K61" s="17" t="str">
        <f aca="false">IF(AND(I61&lt;&gt;"",J61&lt;&gt;"",J61&lt;&gt;0),I61/J61,"")</f>
        <v/>
      </c>
      <c r="L61" s="16"/>
      <c r="M61" s="16"/>
      <c r="N61" s="16"/>
      <c r="O61" s="16" t="n">
        <v>1.5</v>
      </c>
      <c r="P61" s="17" t="str">
        <f aca="false">IF(AND(N61&lt;&gt;"",O61&lt;&gt;"",I61&lt;&gt;"",I61&lt;&gt;0),N61/(O61*9.81*I61),"")</f>
        <v/>
      </c>
      <c r="Q61" s="16"/>
      <c r="R61" s="18"/>
    </row>
    <row r="62" customFormat="false" ht="15" hidden="false" customHeight="false" outlineLevel="0" collapsed="false">
      <c r="A62" s="13" t="n">
        <v>58</v>
      </c>
      <c r="B62" s="13" t="n">
        <v>111</v>
      </c>
      <c r="C62" s="13" t="n">
        <v>23</v>
      </c>
      <c r="D62" s="13" t="n">
        <v>1</v>
      </c>
      <c r="E62" s="13" t="n">
        <v>0.5</v>
      </c>
      <c r="F62" s="13" t="s">
        <v>61</v>
      </c>
      <c r="G62" s="13" t="n">
        <v>5</v>
      </c>
      <c r="H62" s="13" t="n">
        <v>10</v>
      </c>
      <c r="I62" s="19"/>
      <c r="J62" s="19"/>
      <c r="K62" s="17" t="str">
        <f aca="false">IF(AND(I62&lt;&gt;"",J62&lt;&gt;"",J62&lt;&gt;0),I62/J62,"")</f>
        <v/>
      </c>
      <c r="L62" s="19"/>
      <c r="M62" s="19"/>
      <c r="N62" s="19"/>
      <c r="O62" s="19" t="n">
        <v>1.5</v>
      </c>
      <c r="P62" s="17" t="str">
        <f aca="false">IF(AND(N62&lt;&gt;"",O62&lt;&gt;"",I62&lt;&gt;"",I62&lt;&gt;0),N62/(O62*9.81*I62),"")</f>
        <v/>
      </c>
      <c r="Q62" s="19"/>
      <c r="R62" s="20"/>
    </row>
    <row r="63" customFormat="false" ht="15" hidden="false" customHeight="false" outlineLevel="0" collapsed="false">
      <c r="A63" s="11" t="n">
        <v>59</v>
      </c>
      <c r="B63" s="11" t="n">
        <v>60</v>
      </c>
      <c r="C63" s="11" t="n">
        <v>12</v>
      </c>
      <c r="D63" s="11" t="n">
        <v>5</v>
      </c>
      <c r="E63" s="11" t="n">
        <v>0.5</v>
      </c>
      <c r="F63" s="11" t="s">
        <v>59</v>
      </c>
      <c r="G63" s="11" t="n">
        <v>2</v>
      </c>
      <c r="H63" s="11" t="n">
        <v>20</v>
      </c>
      <c r="I63" s="16"/>
      <c r="J63" s="16"/>
      <c r="K63" s="17" t="str">
        <f aca="false">IF(AND(I63&lt;&gt;"",J63&lt;&gt;"",J63&lt;&gt;0),I63/J63,"")</f>
        <v/>
      </c>
      <c r="L63" s="16"/>
      <c r="M63" s="16"/>
      <c r="N63" s="16"/>
      <c r="O63" s="16" t="n">
        <v>1.5</v>
      </c>
      <c r="P63" s="17" t="str">
        <f aca="false">IF(AND(N63&lt;&gt;"",O63&lt;&gt;"",I63&lt;&gt;"",I63&lt;&gt;0),N63/(O63*9.81*I63),"")</f>
        <v/>
      </c>
      <c r="Q63" s="16"/>
      <c r="R63" s="18"/>
    </row>
    <row r="64" customFormat="false" ht="15" hidden="false" customHeight="false" outlineLevel="0" collapsed="false">
      <c r="A64" s="13" t="n">
        <v>60</v>
      </c>
      <c r="B64" s="13" t="n">
        <v>292</v>
      </c>
      <c r="C64" s="13" t="n">
        <v>59</v>
      </c>
      <c r="D64" s="13" t="n">
        <v>2</v>
      </c>
      <c r="E64" s="13" t="n">
        <v>1.5</v>
      </c>
      <c r="F64" s="13" t="s">
        <v>57</v>
      </c>
      <c r="G64" s="13" t="n">
        <v>5</v>
      </c>
      <c r="H64" s="13" t="n">
        <v>10</v>
      </c>
      <c r="I64" s="19"/>
      <c r="J64" s="19"/>
      <c r="K64" s="17" t="str">
        <f aca="false">IF(AND(I64&lt;&gt;"",J64&lt;&gt;"",J64&lt;&gt;0),I64/J64,"")</f>
        <v/>
      </c>
      <c r="L64" s="19"/>
      <c r="M64" s="19"/>
      <c r="N64" s="19"/>
      <c r="O64" s="19" t="n">
        <v>1.5</v>
      </c>
      <c r="P64" s="17" t="str">
        <f aca="false">IF(AND(N64&lt;&gt;"",O64&lt;&gt;"",I64&lt;&gt;"",I64&lt;&gt;0),N64/(O64*9.81*I64),"")</f>
        <v/>
      </c>
      <c r="Q64" s="19"/>
      <c r="R64" s="20"/>
    </row>
    <row r="65" customFormat="false" ht="15" hidden="false" customHeight="false" outlineLevel="0" collapsed="false">
      <c r="A65" s="11" t="n">
        <v>61</v>
      </c>
      <c r="B65" s="11" t="n">
        <v>527</v>
      </c>
      <c r="C65" s="11" t="n">
        <v>106</v>
      </c>
      <c r="D65" s="11" t="n">
        <v>2</v>
      </c>
      <c r="E65" s="11" t="n">
        <v>2</v>
      </c>
      <c r="F65" s="11" t="s">
        <v>61</v>
      </c>
      <c r="G65" s="11" t="n">
        <v>10</v>
      </c>
      <c r="H65" s="11" t="n">
        <v>0</v>
      </c>
      <c r="I65" s="16"/>
      <c r="J65" s="16"/>
      <c r="K65" s="17" t="str">
        <f aca="false">IF(AND(I65&lt;&gt;"",J65&lt;&gt;"",J65&lt;&gt;0),I65/J65,"")</f>
        <v/>
      </c>
      <c r="L65" s="16"/>
      <c r="M65" s="16"/>
      <c r="N65" s="16"/>
      <c r="O65" s="16" t="n">
        <v>1.5</v>
      </c>
      <c r="P65" s="17" t="str">
        <f aca="false">IF(AND(N65&lt;&gt;"",O65&lt;&gt;"",I65&lt;&gt;"",I65&lt;&gt;0),N65/(O65*9.81*I65),"")</f>
        <v/>
      </c>
      <c r="Q65" s="16"/>
      <c r="R65" s="18"/>
    </row>
    <row r="66" customFormat="false" ht="15" hidden="false" customHeight="false" outlineLevel="0" collapsed="false">
      <c r="A66" s="13" t="n">
        <v>62</v>
      </c>
      <c r="B66" s="13" t="n">
        <v>259</v>
      </c>
      <c r="C66" s="13" t="n">
        <v>52</v>
      </c>
      <c r="D66" s="13" t="n">
        <v>4</v>
      </c>
      <c r="E66" s="13" t="n">
        <v>1</v>
      </c>
      <c r="F66" s="13" t="s">
        <v>61</v>
      </c>
      <c r="G66" s="13" t="n">
        <v>10</v>
      </c>
      <c r="H66" s="13" t="n">
        <v>0</v>
      </c>
      <c r="I66" s="19"/>
      <c r="J66" s="19"/>
      <c r="K66" s="17" t="str">
        <f aca="false">IF(AND(I66&lt;&gt;"",J66&lt;&gt;"",J66&lt;&gt;0),I66/J66,"")</f>
        <v/>
      </c>
      <c r="L66" s="19"/>
      <c r="M66" s="19"/>
      <c r="N66" s="19"/>
      <c r="O66" s="19" t="n">
        <v>1.5</v>
      </c>
      <c r="P66" s="17" t="str">
        <f aca="false">IF(AND(N66&lt;&gt;"",O66&lt;&gt;"",I66&lt;&gt;"",I66&lt;&gt;0),N66/(O66*9.81*I66),"")</f>
        <v/>
      </c>
      <c r="Q66" s="19"/>
      <c r="R66" s="20"/>
    </row>
    <row r="67" customFormat="false" ht="15" hidden="false" customHeight="false" outlineLevel="0" collapsed="false">
      <c r="A67" s="11" t="n">
        <v>63</v>
      </c>
      <c r="B67" s="11" t="n">
        <v>379</v>
      </c>
      <c r="C67" s="11" t="n">
        <v>76</v>
      </c>
      <c r="D67" s="11" t="n">
        <v>4</v>
      </c>
      <c r="E67" s="11" t="n">
        <v>1.5</v>
      </c>
      <c r="F67" s="11" t="s">
        <v>61</v>
      </c>
      <c r="G67" s="11" t="n">
        <v>5</v>
      </c>
      <c r="H67" s="11" t="n">
        <v>0</v>
      </c>
      <c r="I67" s="16"/>
      <c r="J67" s="16"/>
      <c r="K67" s="17" t="str">
        <f aca="false">IF(AND(I67&lt;&gt;"",J67&lt;&gt;"",J67&lt;&gt;0),I67/J67,"")</f>
        <v/>
      </c>
      <c r="L67" s="16"/>
      <c r="M67" s="16"/>
      <c r="N67" s="16"/>
      <c r="O67" s="16" t="n">
        <v>1.5</v>
      </c>
      <c r="P67" s="17" t="str">
        <f aca="false">IF(AND(N67&lt;&gt;"",O67&lt;&gt;"",I67&lt;&gt;"",I67&lt;&gt;0),N67/(O67*9.81*I67),"")</f>
        <v/>
      </c>
      <c r="Q67" s="16"/>
      <c r="R67" s="18"/>
    </row>
    <row r="68" customFormat="false" ht="15" hidden="false" customHeight="false" outlineLevel="0" collapsed="false">
      <c r="A68" s="13" t="n">
        <v>64</v>
      </c>
      <c r="B68" s="13" t="n">
        <v>97</v>
      </c>
      <c r="C68" s="13" t="n">
        <v>20</v>
      </c>
      <c r="D68" s="13" t="n">
        <v>2</v>
      </c>
      <c r="E68" s="13" t="n">
        <v>0.5</v>
      </c>
      <c r="F68" s="13" t="s">
        <v>61</v>
      </c>
      <c r="G68" s="13" t="n">
        <v>2</v>
      </c>
      <c r="H68" s="13" t="n">
        <v>10</v>
      </c>
      <c r="I68" s="19"/>
      <c r="J68" s="19"/>
      <c r="K68" s="17" t="str">
        <f aca="false">IF(AND(I68&lt;&gt;"",J68&lt;&gt;"",J68&lt;&gt;0),I68/J68,"")</f>
        <v/>
      </c>
      <c r="L68" s="19"/>
      <c r="M68" s="19"/>
      <c r="N68" s="19"/>
      <c r="O68" s="19" t="n">
        <v>1.5</v>
      </c>
      <c r="P68" s="17" t="str">
        <f aca="false">IF(AND(N68&lt;&gt;"",O68&lt;&gt;"",I68&lt;&gt;"",I68&lt;&gt;0),N68/(O68*9.81*I68),"")</f>
        <v/>
      </c>
      <c r="Q68" s="19"/>
      <c r="R68" s="20"/>
    </row>
    <row r="69" customFormat="false" ht="15" hidden="false" customHeight="false" outlineLevel="0" collapsed="false">
      <c r="A69" s="11" t="n">
        <v>65</v>
      </c>
      <c r="B69" s="11" t="n">
        <v>45</v>
      </c>
      <c r="C69" s="11" t="n">
        <v>9</v>
      </c>
      <c r="D69" s="11" t="n">
        <v>5</v>
      </c>
      <c r="E69" s="11" t="n">
        <v>0.5</v>
      </c>
      <c r="F69" s="11" t="s">
        <v>57</v>
      </c>
      <c r="G69" s="11" t="n">
        <v>10</v>
      </c>
      <c r="H69" s="11" t="n">
        <v>20</v>
      </c>
      <c r="I69" s="16"/>
      <c r="J69" s="16"/>
      <c r="K69" s="17" t="str">
        <f aca="false">IF(AND(I69&lt;&gt;"",J69&lt;&gt;"",J69&lt;&gt;0),I69/J69,"")</f>
        <v/>
      </c>
      <c r="L69" s="16"/>
      <c r="M69" s="16"/>
      <c r="N69" s="16"/>
      <c r="O69" s="16" t="n">
        <v>1.5</v>
      </c>
      <c r="P69" s="17" t="str">
        <f aca="false">IF(AND(N69&lt;&gt;"",O69&lt;&gt;"",I69&lt;&gt;"",I69&lt;&gt;0),N69/(O69*9.81*I69),"")</f>
        <v/>
      </c>
      <c r="Q69" s="16"/>
      <c r="R69" s="18"/>
    </row>
    <row r="70" customFormat="false" ht="15" hidden="false" customHeight="false" outlineLevel="0" collapsed="false">
      <c r="A70" s="13" t="n">
        <v>66</v>
      </c>
      <c r="B70" s="13" t="n">
        <v>378</v>
      </c>
      <c r="C70" s="13" t="n">
        <v>76</v>
      </c>
      <c r="D70" s="13" t="n">
        <v>3</v>
      </c>
      <c r="E70" s="13" t="n">
        <v>1.5</v>
      </c>
      <c r="F70" s="13" t="s">
        <v>61</v>
      </c>
      <c r="G70" s="13" t="n">
        <v>5</v>
      </c>
      <c r="H70" s="13" t="n">
        <v>0</v>
      </c>
      <c r="I70" s="19"/>
      <c r="J70" s="19"/>
      <c r="K70" s="17" t="str">
        <f aca="false">IF(AND(I70&lt;&gt;"",J70&lt;&gt;"",J70&lt;&gt;0),I70/J70,"")</f>
        <v/>
      </c>
      <c r="L70" s="19"/>
      <c r="M70" s="19"/>
      <c r="N70" s="19"/>
      <c r="O70" s="19" t="n">
        <v>1.5</v>
      </c>
      <c r="P70" s="17" t="str">
        <f aca="false">IF(AND(N70&lt;&gt;"",O70&lt;&gt;"",I70&lt;&gt;"",I70&lt;&gt;0),N70/(O70*9.81*I70),"")</f>
        <v/>
      </c>
      <c r="Q70" s="19"/>
      <c r="R70" s="20"/>
    </row>
    <row r="71" customFormat="false" ht="15" hidden="false" customHeight="false" outlineLevel="0" collapsed="false">
      <c r="A71" s="11" t="n">
        <v>67</v>
      </c>
      <c r="B71" s="11" t="n">
        <v>165</v>
      </c>
      <c r="C71" s="11" t="n">
        <v>33</v>
      </c>
      <c r="D71" s="11" t="n">
        <v>5</v>
      </c>
      <c r="E71" s="11" t="n">
        <v>1</v>
      </c>
      <c r="F71" s="11" t="s">
        <v>57</v>
      </c>
      <c r="G71" s="11" t="n">
        <v>5</v>
      </c>
      <c r="H71" s="11" t="n">
        <v>20</v>
      </c>
      <c r="I71" s="16"/>
      <c r="J71" s="16"/>
      <c r="K71" s="17" t="str">
        <f aca="false">IF(AND(I71&lt;&gt;"",J71&lt;&gt;"",J71&lt;&gt;0),I71/J71,"")</f>
        <v/>
      </c>
      <c r="L71" s="16"/>
      <c r="M71" s="16"/>
      <c r="N71" s="16"/>
      <c r="O71" s="16" t="n">
        <v>1.5</v>
      </c>
      <c r="P71" s="17" t="str">
        <f aca="false">IF(AND(N71&lt;&gt;"",O71&lt;&gt;"",I71&lt;&gt;"",I71&lt;&gt;0),N71/(O71*9.81*I71),"")</f>
        <v/>
      </c>
      <c r="Q71" s="16"/>
      <c r="R71" s="18"/>
    </row>
    <row r="72" customFormat="false" ht="15" hidden="false" customHeight="false" outlineLevel="0" collapsed="false">
      <c r="A72" s="13" t="n">
        <v>68</v>
      </c>
      <c r="B72" s="13" t="n">
        <v>436</v>
      </c>
      <c r="C72" s="13" t="n">
        <v>88</v>
      </c>
      <c r="D72" s="13" t="n">
        <v>1</v>
      </c>
      <c r="E72" s="13" t="n">
        <v>2</v>
      </c>
      <c r="F72" s="13" t="s">
        <v>57</v>
      </c>
      <c r="G72" s="13" t="n">
        <v>10</v>
      </c>
      <c r="H72" s="13" t="n">
        <v>0</v>
      </c>
      <c r="I72" s="19"/>
      <c r="J72" s="19"/>
      <c r="K72" s="17" t="str">
        <f aca="false">IF(AND(I72&lt;&gt;"",J72&lt;&gt;"",J72&lt;&gt;0),I72/J72,"")</f>
        <v/>
      </c>
      <c r="L72" s="19"/>
      <c r="M72" s="19"/>
      <c r="N72" s="19"/>
      <c r="O72" s="19" t="n">
        <v>1.5</v>
      </c>
      <c r="P72" s="17" t="str">
        <f aca="false">IF(AND(N72&lt;&gt;"",O72&lt;&gt;"",I72&lt;&gt;"",I72&lt;&gt;0),N72/(O72*9.81*I72),"")</f>
        <v/>
      </c>
      <c r="Q72" s="19"/>
      <c r="R72" s="20"/>
    </row>
    <row r="73" customFormat="false" ht="15" hidden="false" customHeight="false" outlineLevel="0" collapsed="false">
      <c r="A73" s="11" t="n">
        <v>69</v>
      </c>
      <c r="B73" s="11" t="n">
        <v>199</v>
      </c>
      <c r="C73" s="11" t="n">
        <v>40</v>
      </c>
      <c r="D73" s="11" t="n">
        <v>4</v>
      </c>
      <c r="E73" s="11" t="n">
        <v>1</v>
      </c>
      <c r="F73" s="11" t="s">
        <v>59</v>
      </c>
      <c r="G73" s="11" t="n">
        <v>5</v>
      </c>
      <c r="H73" s="11" t="n">
        <v>0</v>
      </c>
      <c r="I73" s="16"/>
      <c r="J73" s="16"/>
      <c r="K73" s="17" t="str">
        <f aca="false">IF(AND(I73&lt;&gt;"",J73&lt;&gt;"",J73&lt;&gt;0),I73/J73,"")</f>
        <v/>
      </c>
      <c r="L73" s="16"/>
      <c r="M73" s="16"/>
      <c r="N73" s="16"/>
      <c r="O73" s="16" t="n">
        <v>1.5</v>
      </c>
      <c r="P73" s="17" t="str">
        <f aca="false">IF(AND(N73&lt;&gt;"",O73&lt;&gt;"",I73&lt;&gt;"",I73&lt;&gt;0),N73/(O73*9.81*I73),"")</f>
        <v/>
      </c>
      <c r="Q73" s="16"/>
      <c r="R73" s="18"/>
    </row>
    <row r="74" customFormat="false" ht="15" hidden="false" customHeight="false" outlineLevel="0" collapsed="false">
      <c r="A74" s="13" t="n">
        <v>70</v>
      </c>
      <c r="B74" s="13" t="n">
        <v>250</v>
      </c>
      <c r="C74" s="13" t="n">
        <v>50</v>
      </c>
      <c r="D74" s="13" t="n">
        <v>5</v>
      </c>
      <c r="E74" s="13" t="n">
        <v>1</v>
      </c>
      <c r="F74" s="13" t="s">
        <v>61</v>
      </c>
      <c r="G74" s="13" t="n">
        <v>5</v>
      </c>
      <c r="H74" s="13" t="n">
        <v>10</v>
      </c>
      <c r="I74" s="19"/>
      <c r="J74" s="19"/>
      <c r="K74" s="17" t="str">
        <f aca="false">IF(AND(I74&lt;&gt;"",J74&lt;&gt;"",J74&lt;&gt;0),I74/J74,"")</f>
        <v/>
      </c>
      <c r="L74" s="19"/>
      <c r="M74" s="19"/>
      <c r="N74" s="19"/>
      <c r="O74" s="19" t="n">
        <v>1.5</v>
      </c>
      <c r="P74" s="17" t="str">
        <f aca="false">IF(AND(N74&lt;&gt;"",O74&lt;&gt;"",I74&lt;&gt;"",I74&lt;&gt;0),N74/(O74*9.81*I74),"")</f>
        <v/>
      </c>
      <c r="Q74" s="19"/>
      <c r="R74" s="20"/>
    </row>
    <row r="75" customFormat="false" ht="15" hidden="false" customHeight="false" outlineLevel="0" collapsed="false">
      <c r="A75" s="11" t="n">
        <v>71</v>
      </c>
      <c r="B75" s="11" t="n">
        <v>528</v>
      </c>
      <c r="C75" s="11" t="n">
        <v>106</v>
      </c>
      <c r="D75" s="11" t="n">
        <v>3</v>
      </c>
      <c r="E75" s="11" t="n">
        <v>2</v>
      </c>
      <c r="F75" s="11" t="s">
        <v>61</v>
      </c>
      <c r="G75" s="11" t="n">
        <v>10</v>
      </c>
      <c r="H75" s="11" t="n">
        <v>0</v>
      </c>
      <c r="I75" s="16"/>
      <c r="J75" s="16"/>
      <c r="K75" s="17" t="str">
        <f aca="false">IF(AND(I75&lt;&gt;"",J75&lt;&gt;"",J75&lt;&gt;0),I75/J75,"")</f>
        <v/>
      </c>
      <c r="L75" s="16"/>
      <c r="M75" s="16"/>
      <c r="N75" s="16"/>
      <c r="O75" s="16" t="n">
        <v>1.5</v>
      </c>
      <c r="P75" s="17" t="str">
        <f aca="false">IF(AND(N75&lt;&gt;"",O75&lt;&gt;"",I75&lt;&gt;"",I75&lt;&gt;0),N75/(O75*9.81*I75),"")</f>
        <v/>
      </c>
      <c r="Q75" s="16"/>
      <c r="R75" s="18"/>
    </row>
    <row r="76" customFormat="false" ht="15" hidden="false" customHeight="false" outlineLevel="0" collapsed="false">
      <c r="A76" s="13" t="n">
        <v>72</v>
      </c>
      <c r="B76" s="13" t="n">
        <v>219</v>
      </c>
      <c r="C76" s="13" t="n">
        <v>44</v>
      </c>
      <c r="D76" s="13" t="n">
        <v>4</v>
      </c>
      <c r="E76" s="13" t="n">
        <v>1</v>
      </c>
      <c r="F76" s="13" t="s">
        <v>59</v>
      </c>
      <c r="G76" s="13" t="n">
        <v>10</v>
      </c>
      <c r="H76" s="13" t="n">
        <v>10</v>
      </c>
      <c r="I76" s="19"/>
      <c r="J76" s="19"/>
      <c r="K76" s="17" t="str">
        <f aca="false">IF(AND(I76&lt;&gt;"",J76&lt;&gt;"",J76&lt;&gt;0),I76/J76,"")</f>
        <v/>
      </c>
      <c r="L76" s="19"/>
      <c r="M76" s="19"/>
      <c r="N76" s="19"/>
      <c r="O76" s="19" t="n">
        <v>1.5</v>
      </c>
      <c r="P76" s="17" t="str">
        <f aca="false">IF(AND(N76&lt;&gt;"",O76&lt;&gt;"",I76&lt;&gt;"",I76&lt;&gt;0),N76/(O76*9.81*I76),"")</f>
        <v/>
      </c>
      <c r="Q76" s="19"/>
      <c r="R76" s="20"/>
    </row>
    <row r="77" customFormat="false" ht="15" hidden="false" customHeight="false" outlineLevel="0" collapsed="false">
      <c r="A77" s="11" t="n">
        <v>73</v>
      </c>
      <c r="B77" s="11" t="n">
        <v>474</v>
      </c>
      <c r="C77" s="11" t="n">
        <v>95</v>
      </c>
      <c r="D77" s="11" t="n">
        <v>4</v>
      </c>
      <c r="E77" s="11" t="n">
        <v>2</v>
      </c>
      <c r="F77" s="11" t="s">
        <v>59</v>
      </c>
      <c r="G77" s="11" t="n">
        <v>5</v>
      </c>
      <c r="H77" s="11" t="n">
        <v>10</v>
      </c>
      <c r="I77" s="16"/>
      <c r="J77" s="16"/>
      <c r="K77" s="17" t="str">
        <f aca="false">IF(AND(I77&lt;&gt;"",J77&lt;&gt;"",J77&lt;&gt;0),I77/J77,"")</f>
        <v/>
      </c>
      <c r="L77" s="16"/>
      <c r="M77" s="16"/>
      <c r="N77" s="16"/>
      <c r="O77" s="16" t="n">
        <v>1.5</v>
      </c>
      <c r="P77" s="17" t="str">
        <f aca="false">IF(AND(N77&lt;&gt;"",O77&lt;&gt;"",I77&lt;&gt;"",I77&lt;&gt;0),N77/(O77*9.81*I77),"")</f>
        <v/>
      </c>
      <c r="Q77" s="16"/>
      <c r="R77" s="18"/>
    </row>
    <row r="78" customFormat="false" ht="15" hidden="false" customHeight="false" outlineLevel="0" collapsed="false">
      <c r="A78" s="13" t="n">
        <v>74</v>
      </c>
      <c r="B78" s="13" t="n">
        <v>144</v>
      </c>
      <c r="C78" s="13" t="n">
        <v>29</v>
      </c>
      <c r="D78" s="13" t="n">
        <v>4</v>
      </c>
      <c r="E78" s="13" t="n">
        <v>1</v>
      </c>
      <c r="F78" s="13" t="s">
        <v>57</v>
      </c>
      <c r="G78" s="13" t="n">
        <v>2</v>
      </c>
      <c r="H78" s="13" t="n">
        <v>10</v>
      </c>
      <c r="I78" s="19"/>
      <c r="J78" s="19"/>
      <c r="K78" s="17" t="str">
        <f aca="false">IF(AND(I78&lt;&gt;"",J78&lt;&gt;"",J78&lt;&gt;0),I78/J78,"")</f>
        <v/>
      </c>
      <c r="L78" s="19"/>
      <c r="M78" s="19"/>
      <c r="N78" s="19"/>
      <c r="O78" s="19" t="n">
        <v>1.5</v>
      </c>
      <c r="P78" s="17" t="str">
        <f aca="false">IF(AND(N78&lt;&gt;"",O78&lt;&gt;"",I78&lt;&gt;"",I78&lt;&gt;0),N78/(O78*9.81*I78),"")</f>
        <v/>
      </c>
      <c r="Q78" s="19"/>
      <c r="R78" s="20"/>
    </row>
    <row r="79" customFormat="false" ht="15" hidden="false" customHeight="false" outlineLevel="0" collapsed="false">
      <c r="A79" s="11" t="n">
        <v>75</v>
      </c>
      <c r="B79" s="11" t="n">
        <v>114</v>
      </c>
      <c r="C79" s="11" t="n">
        <v>23</v>
      </c>
      <c r="D79" s="11" t="n">
        <v>4</v>
      </c>
      <c r="E79" s="11" t="n">
        <v>0.5</v>
      </c>
      <c r="F79" s="11" t="s">
        <v>61</v>
      </c>
      <c r="G79" s="11" t="n">
        <v>5</v>
      </c>
      <c r="H79" s="11" t="n">
        <v>10</v>
      </c>
      <c r="I79" s="16"/>
      <c r="J79" s="16"/>
      <c r="K79" s="17" t="str">
        <f aca="false">IF(AND(I79&lt;&gt;"",J79&lt;&gt;"",J79&lt;&gt;0),I79/J79,"")</f>
        <v/>
      </c>
      <c r="L79" s="16"/>
      <c r="M79" s="16"/>
      <c r="N79" s="16"/>
      <c r="O79" s="16" t="n">
        <v>1.5</v>
      </c>
      <c r="P79" s="17" t="str">
        <f aca="false">IF(AND(N79&lt;&gt;"",O79&lt;&gt;"",I79&lt;&gt;"",I79&lt;&gt;0),N79/(O79*9.81*I79),"")</f>
        <v/>
      </c>
      <c r="Q79" s="16"/>
      <c r="R79" s="18"/>
    </row>
    <row r="80" customFormat="false" ht="15" hidden="false" customHeight="false" outlineLevel="0" collapsed="false">
      <c r="A80" s="13" t="n">
        <v>76</v>
      </c>
      <c r="B80" s="13" t="n">
        <v>451</v>
      </c>
      <c r="C80" s="13" t="n">
        <v>91</v>
      </c>
      <c r="D80" s="13" t="n">
        <v>1</v>
      </c>
      <c r="E80" s="13" t="n">
        <v>2</v>
      </c>
      <c r="F80" s="13" t="s">
        <v>59</v>
      </c>
      <c r="G80" s="13" t="n">
        <v>2</v>
      </c>
      <c r="H80" s="13" t="n">
        <v>0</v>
      </c>
      <c r="I80" s="19"/>
      <c r="J80" s="19"/>
      <c r="K80" s="17" t="str">
        <f aca="false">IF(AND(I80&lt;&gt;"",J80&lt;&gt;"",J80&lt;&gt;0),I80/J80,"")</f>
        <v/>
      </c>
      <c r="L80" s="19"/>
      <c r="M80" s="19"/>
      <c r="N80" s="19"/>
      <c r="O80" s="19" t="n">
        <v>1.5</v>
      </c>
      <c r="P80" s="17" t="str">
        <f aca="false">IF(AND(N80&lt;&gt;"",O80&lt;&gt;"",I80&lt;&gt;"",I80&lt;&gt;0),N80/(O80*9.81*I80),"")</f>
        <v/>
      </c>
      <c r="Q80" s="19"/>
      <c r="R80" s="20"/>
    </row>
    <row r="81" customFormat="false" ht="15" hidden="false" customHeight="false" outlineLevel="0" collapsed="false">
      <c r="A81" s="11" t="n">
        <v>77</v>
      </c>
      <c r="B81" s="11" t="n">
        <v>279</v>
      </c>
      <c r="C81" s="11" t="n">
        <v>56</v>
      </c>
      <c r="D81" s="11" t="n">
        <v>4</v>
      </c>
      <c r="E81" s="11" t="n">
        <v>1.5</v>
      </c>
      <c r="F81" s="11" t="s">
        <v>57</v>
      </c>
      <c r="G81" s="11" t="n">
        <v>2</v>
      </c>
      <c r="H81" s="11" t="n">
        <v>10</v>
      </c>
      <c r="I81" s="16"/>
      <c r="J81" s="16"/>
      <c r="K81" s="17" t="str">
        <f aca="false">IF(AND(I81&lt;&gt;"",J81&lt;&gt;"",J81&lt;&gt;0),I81/J81,"")</f>
        <v/>
      </c>
      <c r="L81" s="16"/>
      <c r="M81" s="16"/>
      <c r="N81" s="16"/>
      <c r="O81" s="16" t="n">
        <v>1.5</v>
      </c>
      <c r="P81" s="17" t="str">
        <f aca="false">IF(AND(N81&lt;&gt;"",O81&lt;&gt;"",I81&lt;&gt;"",I81&lt;&gt;0),N81/(O81*9.81*I81),"")</f>
        <v/>
      </c>
      <c r="Q81" s="16"/>
      <c r="R81" s="18"/>
    </row>
    <row r="82" customFormat="false" ht="15" hidden="false" customHeight="false" outlineLevel="0" collapsed="false">
      <c r="A82" s="13" t="n">
        <v>78</v>
      </c>
      <c r="B82" s="13" t="n">
        <v>171</v>
      </c>
      <c r="C82" s="13" t="n">
        <v>35</v>
      </c>
      <c r="D82" s="13" t="n">
        <v>1</v>
      </c>
      <c r="E82" s="13" t="n">
        <v>1</v>
      </c>
      <c r="F82" s="13" t="s">
        <v>57</v>
      </c>
      <c r="G82" s="13" t="n">
        <v>10</v>
      </c>
      <c r="H82" s="13" t="n">
        <v>10</v>
      </c>
      <c r="I82" s="19"/>
      <c r="J82" s="19"/>
      <c r="K82" s="17" t="str">
        <f aca="false">IF(AND(I82&lt;&gt;"",J82&lt;&gt;"",J82&lt;&gt;0),I82/J82,"")</f>
        <v/>
      </c>
      <c r="L82" s="19"/>
      <c r="M82" s="19"/>
      <c r="N82" s="19"/>
      <c r="O82" s="19" t="n">
        <v>1.5</v>
      </c>
      <c r="P82" s="17" t="str">
        <f aca="false">IF(AND(N82&lt;&gt;"",O82&lt;&gt;"",I82&lt;&gt;"",I82&lt;&gt;0),N82/(O82*9.81*I82),"")</f>
        <v/>
      </c>
      <c r="Q82" s="19"/>
      <c r="R82" s="20"/>
    </row>
    <row r="83" customFormat="false" ht="15" hidden="false" customHeight="false" outlineLevel="0" collapsed="false">
      <c r="A83" s="11" t="n">
        <v>79</v>
      </c>
      <c r="B83" s="11" t="n">
        <v>304</v>
      </c>
      <c r="C83" s="11" t="n">
        <v>61</v>
      </c>
      <c r="D83" s="11" t="n">
        <v>4</v>
      </c>
      <c r="E83" s="11" t="n">
        <v>1.5</v>
      </c>
      <c r="F83" s="11" t="s">
        <v>57</v>
      </c>
      <c r="G83" s="11" t="n">
        <v>10</v>
      </c>
      <c r="H83" s="11" t="n">
        <v>0</v>
      </c>
      <c r="I83" s="16"/>
      <c r="J83" s="16"/>
      <c r="K83" s="17" t="str">
        <f aca="false">IF(AND(I83&lt;&gt;"",J83&lt;&gt;"",J83&lt;&gt;0),I83/J83,"")</f>
        <v/>
      </c>
      <c r="L83" s="16"/>
      <c r="M83" s="16"/>
      <c r="N83" s="16"/>
      <c r="O83" s="16" t="n">
        <v>1.5</v>
      </c>
      <c r="P83" s="17" t="str">
        <f aca="false">IF(AND(N83&lt;&gt;"",O83&lt;&gt;"",I83&lt;&gt;"",I83&lt;&gt;0),N83/(O83*9.81*I83),"")</f>
        <v/>
      </c>
      <c r="Q83" s="16"/>
      <c r="R83" s="18"/>
    </row>
    <row r="84" customFormat="false" ht="15" hidden="false" customHeight="false" outlineLevel="0" collapsed="false">
      <c r="A84" s="13" t="n">
        <v>80</v>
      </c>
      <c r="B84" s="13" t="n">
        <v>343</v>
      </c>
      <c r="C84" s="13" t="n">
        <v>69</v>
      </c>
      <c r="D84" s="13" t="n">
        <v>3</v>
      </c>
      <c r="E84" s="13" t="n">
        <v>1.5</v>
      </c>
      <c r="F84" s="13" t="s">
        <v>59</v>
      </c>
      <c r="G84" s="13" t="n">
        <v>5</v>
      </c>
      <c r="H84" s="13" t="n">
        <v>20</v>
      </c>
      <c r="I84" s="19"/>
      <c r="J84" s="19"/>
      <c r="K84" s="17" t="str">
        <f aca="false">IF(AND(I84&lt;&gt;"",J84&lt;&gt;"",J84&lt;&gt;0),I84/J84,"")</f>
        <v/>
      </c>
      <c r="L84" s="19"/>
      <c r="M84" s="19"/>
      <c r="N84" s="19"/>
      <c r="O84" s="19" t="n">
        <v>1.5</v>
      </c>
      <c r="P84" s="17" t="str">
        <f aca="false">IF(AND(N84&lt;&gt;"",O84&lt;&gt;"",I84&lt;&gt;"",I84&lt;&gt;0),N84/(O84*9.81*I84),"")</f>
        <v/>
      </c>
      <c r="Q84" s="19"/>
      <c r="R84" s="20"/>
    </row>
    <row r="85" customFormat="false" ht="15" hidden="false" customHeight="false" outlineLevel="0" collapsed="false">
      <c r="A85" s="11" t="n">
        <v>81</v>
      </c>
      <c r="B85" s="11" t="n">
        <v>501</v>
      </c>
      <c r="C85" s="11" t="n">
        <v>101</v>
      </c>
      <c r="D85" s="11" t="n">
        <v>1</v>
      </c>
      <c r="E85" s="11" t="n">
        <v>2</v>
      </c>
      <c r="F85" s="11" t="s">
        <v>61</v>
      </c>
      <c r="G85" s="11" t="n">
        <v>2</v>
      </c>
      <c r="H85" s="11" t="n">
        <v>10</v>
      </c>
      <c r="I85" s="16"/>
      <c r="J85" s="16"/>
      <c r="K85" s="17" t="str">
        <f aca="false">IF(AND(I85&lt;&gt;"",J85&lt;&gt;"",J85&lt;&gt;0),I85/J85,"")</f>
        <v/>
      </c>
      <c r="L85" s="16"/>
      <c r="M85" s="16"/>
      <c r="N85" s="16"/>
      <c r="O85" s="16" t="n">
        <v>1.5</v>
      </c>
      <c r="P85" s="17" t="str">
        <f aca="false">IF(AND(N85&lt;&gt;"",O85&lt;&gt;"",I85&lt;&gt;"",I85&lt;&gt;0),N85/(O85*9.81*I85),"")</f>
        <v/>
      </c>
      <c r="Q85" s="16"/>
      <c r="R85" s="18"/>
    </row>
    <row r="86" customFormat="false" ht="15" hidden="false" customHeight="false" outlineLevel="0" collapsed="false">
      <c r="A86" s="13" t="n">
        <v>82</v>
      </c>
      <c r="B86" s="13" t="n">
        <v>168</v>
      </c>
      <c r="C86" s="13" t="n">
        <v>34</v>
      </c>
      <c r="D86" s="13" t="n">
        <v>3</v>
      </c>
      <c r="E86" s="13" t="n">
        <v>1</v>
      </c>
      <c r="F86" s="13" t="s">
        <v>57</v>
      </c>
      <c r="G86" s="13" t="n">
        <v>10</v>
      </c>
      <c r="H86" s="13" t="n">
        <v>0</v>
      </c>
      <c r="I86" s="19"/>
      <c r="J86" s="19"/>
      <c r="K86" s="17" t="str">
        <f aca="false">IF(AND(I86&lt;&gt;"",J86&lt;&gt;"",J86&lt;&gt;0),I86/J86,"")</f>
        <v/>
      </c>
      <c r="L86" s="19"/>
      <c r="M86" s="19"/>
      <c r="N86" s="19"/>
      <c r="O86" s="19" t="n">
        <v>1.5</v>
      </c>
      <c r="P86" s="17" t="str">
        <f aca="false">IF(AND(N86&lt;&gt;"",O86&lt;&gt;"",I86&lt;&gt;"",I86&lt;&gt;0),N86/(O86*9.81*I86),"")</f>
        <v/>
      </c>
      <c r="Q86" s="19"/>
      <c r="R86" s="20"/>
    </row>
    <row r="87" customFormat="false" ht="15" hidden="false" customHeight="false" outlineLevel="0" collapsed="false">
      <c r="A87" s="11" t="n">
        <v>83</v>
      </c>
      <c r="B87" s="11" t="n">
        <v>197</v>
      </c>
      <c r="C87" s="11" t="n">
        <v>40</v>
      </c>
      <c r="D87" s="11" t="n">
        <v>2</v>
      </c>
      <c r="E87" s="11" t="n">
        <v>1</v>
      </c>
      <c r="F87" s="11" t="s">
        <v>59</v>
      </c>
      <c r="G87" s="11" t="n">
        <v>5</v>
      </c>
      <c r="H87" s="11" t="n">
        <v>0</v>
      </c>
      <c r="I87" s="16"/>
      <c r="J87" s="16"/>
      <c r="K87" s="17" t="str">
        <f aca="false">IF(AND(I87&lt;&gt;"",J87&lt;&gt;"",J87&lt;&gt;0),I87/J87,"")</f>
        <v/>
      </c>
      <c r="L87" s="16"/>
      <c r="M87" s="16"/>
      <c r="N87" s="16"/>
      <c r="O87" s="16" t="n">
        <v>1.5</v>
      </c>
      <c r="P87" s="17" t="str">
        <f aca="false">IF(AND(N87&lt;&gt;"",O87&lt;&gt;"",I87&lt;&gt;"",I87&lt;&gt;0),N87/(O87*9.81*I87),"")</f>
        <v/>
      </c>
      <c r="Q87" s="16"/>
      <c r="R87" s="18"/>
    </row>
    <row r="88" customFormat="false" ht="15" hidden="false" customHeight="false" outlineLevel="0" collapsed="false">
      <c r="A88" s="13" t="n">
        <v>84</v>
      </c>
      <c r="B88" s="13" t="n">
        <v>314</v>
      </c>
      <c r="C88" s="13" t="n">
        <v>63</v>
      </c>
      <c r="D88" s="13" t="n">
        <v>4</v>
      </c>
      <c r="E88" s="13" t="n">
        <v>1.5</v>
      </c>
      <c r="F88" s="13" t="s">
        <v>57</v>
      </c>
      <c r="G88" s="13" t="n">
        <v>10</v>
      </c>
      <c r="H88" s="13" t="n">
        <v>20</v>
      </c>
      <c r="I88" s="19"/>
      <c r="J88" s="19"/>
      <c r="K88" s="17" t="str">
        <f aca="false">IF(AND(I88&lt;&gt;"",J88&lt;&gt;"",J88&lt;&gt;0),I88/J88,"")</f>
        <v/>
      </c>
      <c r="L88" s="19"/>
      <c r="M88" s="19"/>
      <c r="N88" s="19"/>
      <c r="O88" s="19" t="n">
        <v>1.5</v>
      </c>
      <c r="P88" s="17" t="str">
        <f aca="false">IF(AND(N88&lt;&gt;"",O88&lt;&gt;"",I88&lt;&gt;"",I88&lt;&gt;0),N88/(O88*9.81*I88),"")</f>
        <v/>
      </c>
      <c r="Q88" s="19"/>
      <c r="R88" s="20"/>
    </row>
    <row r="89" customFormat="false" ht="15" hidden="false" customHeight="false" outlineLevel="0" collapsed="false">
      <c r="A89" s="11" t="n">
        <v>85</v>
      </c>
      <c r="B89" s="11" t="n">
        <v>80</v>
      </c>
      <c r="C89" s="11" t="n">
        <v>16</v>
      </c>
      <c r="D89" s="11" t="n">
        <v>5</v>
      </c>
      <c r="E89" s="11" t="n">
        <v>0.5</v>
      </c>
      <c r="F89" s="11" t="s">
        <v>59</v>
      </c>
      <c r="G89" s="11" t="n">
        <v>10</v>
      </c>
      <c r="H89" s="11" t="n">
        <v>0</v>
      </c>
      <c r="I89" s="16"/>
      <c r="J89" s="16"/>
      <c r="K89" s="17" t="str">
        <f aca="false">IF(AND(I89&lt;&gt;"",J89&lt;&gt;"",J89&lt;&gt;0),I89/J89,"")</f>
        <v/>
      </c>
      <c r="L89" s="16"/>
      <c r="M89" s="16"/>
      <c r="N89" s="16"/>
      <c r="O89" s="16" t="n">
        <v>1.5</v>
      </c>
      <c r="P89" s="17" t="str">
        <f aca="false">IF(AND(N89&lt;&gt;"",O89&lt;&gt;"",I89&lt;&gt;"",I89&lt;&gt;0),N89/(O89*9.81*I89),"")</f>
        <v/>
      </c>
      <c r="Q89" s="16"/>
      <c r="R89" s="18"/>
    </row>
    <row r="90" customFormat="false" ht="15" hidden="false" customHeight="false" outlineLevel="0" collapsed="false">
      <c r="A90" s="13" t="n">
        <v>86</v>
      </c>
      <c r="B90" s="13" t="n">
        <v>366</v>
      </c>
      <c r="C90" s="13" t="n">
        <v>74</v>
      </c>
      <c r="D90" s="13" t="n">
        <v>1</v>
      </c>
      <c r="E90" s="13" t="n">
        <v>1.5</v>
      </c>
      <c r="F90" s="13" t="s">
        <v>61</v>
      </c>
      <c r="G90" s="13" t="n">
        <v>2</v>
      </c>
      <c r="H90" s="13" t="n">
        <v>10</v>
      </c>
      <c r="I90" s="19"/>
      <c r="J90" s="19"/>
      <c r="K90" s="17" t="str">
        <f aca="false">IF(AND(I90&lt;&gt;"",J90&lt;&gt;"",J90&lt;&gt;0),I90/J90,"")</f>
        <v/>
      </c>
      <c r="L90" s="19"/>
      <c r="M90" s="19"/>
      <c r="N90" s="19"/>
      <c r="O90" s="19" t="n">
        <v>1.5</v>
      </c>
      <c r="P90" s="17" t="str">
        <f aca="false">IF(AND(N90&lt;&gt;"",O90&lt;&gt;"",I90&lt;&gt;"",I90&lt;&gt;0),N90/(O90*9.81*I90),"")</f>
        <v/>
      </c>
      <c r="Q90" s="19"/>
      <c r="R90" s="20"/>
    </row>
    <row r="91" customFormat="false" ht="15" hidden="false" customHeight="false" outlineLevel="0" collapsed="false">
      <c r="A91" s="11" t="n">
        <v>87</v>
      </c>
      <c r="B91" s="11" t="n">
        <v>112</v>
      </c>
      <c r="C91" s="11" t="n">
        <v>23</v>
      </c>
      <c r="D91" s="11" t="n">
        <v>2</v>
      </c>
      <c r="E91" s="11" t="n">
        <v>0.5</v>
      </c>
      <c r="F91" s="11" t="s">
        <v>61</v>
      </c>
      <c r="G91" s="11" t="n">
        <v>5</v>
      </c>
      <c r="H91" s="11" t="n">
        <v>10</v>
      </c>
      <c r="I91" s="16"/>
      <c r="J91" s="16"/>
      <c r="K91" s="17" t="str">
        <f aca="false">IF(AND(I91&lt;&gt;"",J91&lt;&gt;"",J91&lt;&gt;0),I91/J91,"")</f>
        <v/>
      </c>
      <c r="L91" s="16"/>
      <c r="M91" s="16"/>
      <c r="N91" s="16"/>
      <c r="O91" s="16" t="n">
        <v>1.5</v>
      </c>
      <c r="P91" s="17" t="str">
        <f aca="false">IF(AND(N91&lt;&gt;"",O91&lt;&gt;"",I91&lt;&gt;"",I91&lt;&gt;0),N91/(O91*9.81*I91),"")</f>
        <v/>
      </c>
      <c r="Q91" s="16"/>
      <c r="R91" s="18"/>
    </row>
    <row r="92" customFormat="false" ht="15" hidden="false" customHeight="false" outlineLevel="0" collapsed="false">
      <c r="A92" s="13" t="n">
        <v>88</v>
      </c>
      <c r="B92" s="13" t="n">
        <v>489</v>
      </c>
      <c r="C92" s="13" t="n">
        <v>98</v>
      </c>
      <c r="D92" s="13" t="n">
        <v>4</v>
      </c>
      <c r="E92" s="13" t="n">
        <v>2</v>
      </c>
      <c r="F92" s="13" t="s">
        <v>59</v>
      </c>
      <c r="G92" s="13" t="n">
        <v>10</v>
      </c>
      <c r="H92" s="13" t="n">
        <v>10</v>
      </c>
      <c r="I92" s="19"/>
      <c r="J92" s="19"/>
      <c r="K92" s="17" t="str">
        <f aca="false">IF(AND(I92&lt;&gt;"",J92&lt;&gt;"",J92&lt;&gt;0),I92/J92,"")</f>
        <v/>
      </c>
      <c r="L92" s="19"/>
      <c r="M92" s="19"/>
      <c r="N92" s="19"/>
      <c r="O92" s="19" t="n">
        <v>1.5</v>
      </c>
      <c r="P92" s="17" t="str">
        <f aca="false">IF(AND(N92&lt;&gt;"",O92&lt;&gt;"",I92&lt;&gt;"",I92&lt;&gt;0),N92/(O92*9.81*I92),"")</f>
        <v/>
      </c>
      <c r="Q92" s="19"/>
      <c r="R92" s="20"/>
    </row>
    <row r="93" customFormat="false" ht="15" hidden="false" customHeight="false" outlineLevel="0" collapsed="false">
      <c r="A93" s="11" t="n">
        <v>89</v>
      </c>
      <c r="B93" s="11" t="n">
        <v>133</v>
      </c>
      <c r="C93" s="11" t="n">
        <v>27</v>
      </c>
      <c r="D93" s="11" t="n">
        <v>3</v>
      </c>
      <c r="E93" s="11" t="n">
        <v>0.5</v>
      </c>
      <c r="F93" s="11" t="s">
        <v>61</v>
      </c>
      <c r="G93" s="11" t="n">
        <v>10</v>
      </c>
      <c r="H93" s="11" t="n">
        <v>20</v>
      </c>
      <c r="I93" s="16"/>
      <c r="J93" s="16"/>
      <c r="K93" s="17" t="str">
        <f aca="false">IF(AND(I93&lt;&gt;"",J93&lt;&gt;"",J93&lt;&gt;0),I93/J93,"")</f>
        <v/>
      </c>
      <c r="L93" s="16"/>
      <c r="M93" s="16"/>
      <c r="N93" s="16"/>
      <c r="O93" s="16" t="n">
        <v>1.5</v>
      </c>
      <c r="P93" s="17" t="str">
        <f aca="false">IF(AND(N93&lt;&gt;"",O93&lt;&gt;"",I93&lt;&gt;"",I93&lt;&gt;0),N93/(O93*9.81*I93),"")</f>
        <v/>
      </c>
      <c r="Q93" s="16"/>
      <c r="R93" s="18"/>
    </row>
    <row r="94" customFormat="false" ht="15" hidden="false" customHeight="false" outlineLevel="0" collapsed="false">
      <c r="A94" s="13" t="n">
        <v>90</v>
      </c>
      <c r="B94" s="13" t="n">
        <v>86</v>
      </c>
      <c r="C94" s="13" t="n">
        <v>18</v>
      </c>
      <c r="D94" s="13" t="n">
        <v>1</v>
      </c>
      <c r="E94" s="13" t="n">
        <v>0.5</v>
      </c>
      <c r="F94" s="13" t="s">
        <v>59</v>
      </c>
      <c r="G94" s="13" t="n">
        <v>10</v>
      </c>
      <c r="H94" s="13" t="n">
        <v>20</v>
      </c>
      <c r="I94" s="19"/>
      <c r="J94" s="19"/>
      <c r="K94" s="17" t="str">
        <f aca="false">IF(AND(I94&lt;&gt;"",J94&lt;&gt;"",J94&lt;&gt;0),I94/J94,"")</f>
        <v/>
      </c>
      <c r="L94" s="19"/>
      <c r="M94" s="19"/>
      <c r="N94" s="19"/>
      <c r="O94" s="19" t="n">
        <v>1.5</v>
      </c>
      <c r="P94" s="17" t="str">
        <f aca="false">IF(AND(N94&lt;&gt;"",O94&lt;&gt;"",I94&lt;&gt;"",I94&lt;&gt;0),N94/(O94*9.81*I94),"")</f>
        <v/>
      </c>
      <c r="Q94" s="19"/>
      <c r="R94" s="20"/>
    </row>
    <row r="95" customFormat="false" ht="15" hidden="false" customHeight="false" outlineLevel="0" collapsed="false">
      <c r="A95" s="11" t="n">
        <v>91</v>
      </c>
      <c r="B95" s="11" t="n">
        <v>376</v>
      </c>
      <c r="C95" s="11" t="n">
        <v>76</v>
      </c>
      <c r="D95" s="11" t="n">
        <v>1</v>
      </c>
      <c r="E95" s="11" t="n">
        <v>1.5</v>
      </c>
      <c r="F95" s="11" t="s">
        <v>61</v>
      </c>
      <c r="G95" s="11" t="n">
        <v>5</v>
      </c>
      <c r="H95" s="11" t="n">
        <v>0</v>
      </c>
      <c r="I95" s="16"/>
      <c r="J95" s="16"/>
      <c r="K95" s="17" t="str">
        <f aca="false">IF(AND(I95&lt;&gt;"",J95&lt;&gt;"",J95&lt;&gt;0),I95/J95,"")</f>
        <v/>
      </c>
      <c r="L95" s="16"/>
      <c r="M95" s="16"/>
      <c r="N95" s="16"/>
      <c r="O95" s="16" t="n">
        <v>1.5</v>
      </c>
      <c r="P95" s="17" t="str">
        <f aca="false">IF(AND(N95&lt;&gt;"",O95&lt;&gt;"",I95&lt;&gt;"",I95&lt;&gt;0),N95/(O95*9.81*I95),"")</f>
        <v/>
      </c>
      <c r="Q95" s="16"/>
      <c r="R95" s="18"/>
    </row>
    <row r="96" customFormat="false" ht="15" hidden="false" customHeight="false" outlineLevel="0" collapsed="false">
      <c r="A96" s="13" t="n">
        <v>92</v>
      </c>
      <c r="B96" s="13" t="n">
        <v>495</v>
      </c>
      <c r="C96" s="13" t="n">
        <v>99</v>
      </c>
      <c r="D96" s="13" t="n">
        <v>5</v>
      </c>
      <c r="E96" s="13" t="n">
        <v>2</v>
      </c>
      <c r="F96" s="13" t="s">
        <v>59</v>
      </c>
      <c r="G96" s="13" t="n">
        <v>10</v>
      </c>
      <c r="H96" s="13" t="n">
        <v>20</v>
      </c>
      <c r="I96" s="19"/>
      <c r="J96" s="19"/>
      <c r="K96" s="17" t="str">
        <f aca="false">IF(AND(I96&lt;&gt;"",J96&lt;&gt;"",J96&lt;&gt;0),I96/J96,"")</f>
        <v/>
      </c>
      <c r="L96" s="19"/>
      <c r="M96" s="19"/>
      <c r="N96" s="19"/>
      <c r="O96" s="19" t="n">
        <v>1.5</v>
      </c>
      <c r="P96" s="17" t="str">
        <f aca="false">IF(AND(N96&lt;&gt;"",O96&lt;&gt;"",I96&lt;&gt;"",I96&lt;&gt;0),N96/(O96*9.81*I96),"")</f>
        <v/>
      </c>
      <c r="Q96" s="19"/>
      <c r="R96" s="20"/>
    </row>
    <row r="97" customFormat="false" ht="15" hidden="false" customHeight="false" outlineLevel="0" collapsed="false">
      <c r="A97" s="11" t="n">
        <v>93</v>
      </c>
      <c r="B97" s="11" t="n">
        <v>334</v>
      </c>
      <c r="C97" s="11" t="n">
        <v>67</v>
      </c>
      <c r="D97" s="11" t="n">
        <v>4</v>
      </c>
      <c r="E97" s="11" t="n">
        <v>1.5</v>
      </c>
      <c r="F97" s="11" t="s">
        <v>59</v>
      </c>
      <c r="G97" s="11" t="n">
        <v>5</v>
      </c>
      <c r="H97" s="11" t="n">
        <v>0</v>
      </c>
      <c r="I97" s="16"/>
      <c r="J97" s="16"/>
      <c r="K97" s="17" t="str">
        <f aca="false">IF(AND(I97&lt;&gt;"",J97&lt;&gt;"",J97&lt;&gt;0),I97/J97,"")</f>
        <v/>
      </c>
      <c r="L97" s="16"/>
      <c r="M97" s="16"/>
      <c r="N97" s="16"/>
      <c r="O97" s="16" t="n">
        <v>1.5</v>
      </c>
      <c r="P97" s="17" t="str">
        <f aca="false">IF(AND(N97&lt;&gt;"",O97&lt;&gt;"",I97&lt;&gt;"",I97&lt;&gt;0),N97/(O97*9.81*I97),"")</f>
        <v/>
      </c>
      <c r="Q97" s="16"/>
      <c r="R97" s="18"/>
    </row>
    <row r="98" customFormat="false" ht="15" hidden="false" customHeight="false" outlineLevel="0" collapsed="false">
      <c r="A98" s="13" t="n">
        <v>94</v>
      </c>
      <c r="B98" s="13" t="n">
        <v>46</v>
      </c>
      <c r="C98" s="13" t="n">
        <v>10</v>
      </c>
      <c r="D98" s="13" t="n">
        <v>1</v>
      </c>
      <c r="E98" s="13" t="n">
        <v>0.5</v>
      </c>
      <c r="F98" s="13" t="s">
        <v>59</v>
      </c>
      <c r="G98" s="13" t="n">
        <v>2</v>
      </c>
      <c r="H98" s="13" t="n">
        <v>0</v>
      </c>
      <c r="I98" s="19"/>
      <c r="J98" s="19"/>
      <c r="K98" s="17" t="str">
        <f aca="false">IF(AND(I98&lt;&gt;"",J98&lt;&gt;"",J98&lt;&gt;0),I98/J98,"")</f>
        <v/>
      </c>
      <c r="L98" s="19"/>
      <c r="M98" s="19"/>
      <c r="N98" s="19"/>
      <c r="O98" s="19" t="n">
        <v>1.5</v>
      </c>
      <c r="P98" s="17" t="str">
        <f aca="false">IF(AND(N98&lt;&gt;"",O98&lt;&gt;"",I98&lt;&gt;"",I98&lt;&gt;0),N98/(O98*9.81*I98),"")</f>
        <v/>
      </c>
      <c r="Q98" s="19"/>
      <c r="R98" s="20"/>
    </row>
    <row r="99" customFormat="false" ht="15" hidden="false" customHeight="false" outlineLevel="0" collapsed="false">
      <c r="A99" s="11" t="n">
        <v>95</v>
      </c>
      <c r="B99" s="11" t="n">
        <v>241</v>
      </c>
      <c r="C99" s="11" t="n">
        <v>49</v>
      </c>
      <c r="D99" s="11" t="n">
        <v>1</v>
      </c>
      <c r="E99" s="11" t="n">
        <v>1</v>
      </c>
      <c r="F99" s="11" t="s">
        <v>61</v>
      </c>
      <c r="G99" s="11" t="n">
        <v>5</v>
      </c>
      <c r="H99" s="11" t="n">
        <v>0</v>
      </c>
      <c r="I99" s="16"/>
      <c r="J99" s="16"/>
      <c r="K99" s="17" t="str">
        <f aca="false">IF(AND(I99&lt;&gt;"",J99&lt;&gt;"",J99&lt;&gt;0),I99/J99,"")</f>
        <v/>
      </c>
      <c r="L99" s="16"/>
      <c r="M99" s="16"/>
      <c r="N99" s="16"/>
      <c r="O99" s="16" t="n">
        <v>1.5</v>
      </c>
      <c r="P99" s="17" t="str">
        <f aca="false">IF(AND(N99&lt;&gt;"",O99&lt;&gt;"",I99&lt;&gt;"",I99&lt;&gt;0),N99/(O99*9.81*I99),"")</f>
        <v/>
      </c>
      <c r="Q99" s="16"/>
      <c r="R99" s="18"/>
    </row>
    <row r="100" customFormat="false" ht="15" hidden="false" customHeight="false" outlineLevel="0" collapsed="false">
      <c r="A100" s="13" t="n">
        <v>96</v>
      </c>
      <c r="B100" s="13" t="n">
        <v>399</v>
      </c>
      <c r="C100" s="13" t="n">
        <v>80</v>
      </c>
      <c r="D100" s="13" t="n">
        <v>4</v>
      </c>
      <c r="E100" s="13" t="n">
        <v>1.5</v>
      </c>
      <c r="F100" s="13" t="s">
        <v>61</v>
      </c>
      <c r="G100" s="13" t="n">
        <v>10</v>
      </c>
      <c r="H100" s="13" t="n">
        <v>10</v>
      </c>
      <c r="I100" s="19"/>
      <c r="J100" s="19"/>
      <c r="K100" s="17" t="str">
        <f aca="false">IF(AND(I100&lt;&gt;"",J100&lt;&gt;"",J100&lt;&gt;0),I100/J100,"")</f>
        <v/>
      </c>
      <c r="L100" s="19"/>
      <c r="M100" s="19"/>
      <c r="N100" s="19"/>
      <c r="O100" s="19" t="n">
        <v>1.5</v>
      </c>
      <c r="P100" s="17" t="str">
        <f aca="false">IF(AND(N100&lt;&gt;"",O100&lt;&gt;"",I100&lt;&gt;"",I100&lt;&gt;0),N100/(O100*9.81*I100),"")</f>
        <v/>
      </c>
      <c r="Q100" s="19"/>
      <c r="R100" s="20"/>
    </row>
    <row r="101" customFormat="false" ht="15" hidden="false" customHeight="false" outlineLevel="0" collapsed="false">
      <c r="A101" s="11" t="n">
        <v>97</v>
      </c>
      <c r="B101" s="11" t="n">
        <v>371</v>
      </c>
      <c r="C101" s="11" t="n">
        <v>75</v>
      </c>
      <c r="D101" s="11" t="n">
        <v>1</v>
      </c>
      <c r="E101" s="11" t="n">
        <v>1.5</v>
      </c>
      <c r="F101" s="11" t="s">
        <v>61</v>
      </c>
      <c r="G101" s="11" t="n">
        <v>2</v>
      </c>
      <c r="H101" s="11" t="n">
        <v>20</v>
      </c>
      <c r="I101" s="16"/>
      <c r="J101" s="16"/>
      <c r="K101" s="17" t="str">
        <f aca="false">IF(AND(I101&lt;&gt;"",J101&lt;&gt;"",J101&lt;&gt;0),I101/J101,"")</f>
        <v/>
      </c>
      <c r="L101" s="16"/>
      <c r="M101" s="16"/>
      <c r="N101" s="16"/>
      <c r="O101" s="16" t="n">
        <v>1.5</v>
      </c>
      <c r="P101" s="17" t="str">
        <f aca="false">IF(AND(N101&lt;&gt;"",O101&lt;&gt;"",I101&lt;&gt;"",I101&lt;&gt;0),N101/(O101*9.81*I101),"")</f>
        <v/>
      </c>
      <c r="Q101" s="16"/>
      <c r="R101" s="18"/>
    </row>
    <row r="102" customFormat="false" ht="15" hidden="false" customHeight="false" outlineLevel="0" collapsed="false">
      <c r="A102" s="13" t="n">
        <v>98</v>
      </c>
      <c r="B102" s="13" t="n">
        <v>522</v>
      </c>
      <c r="C102" s="13" t="n">
        <v>105</v>
      </c>
      <c r="D102" s="13" t="n">
        <v>2</v>
      </c>
      <c r="E102" s="13" t="n">
        <v>2</v>
      </c>
      <c r="F102" s="13" t="s">
        <v>61</v>
      </c>
      <c r="G102" s="13" t="n">
        <v>5</v>
      </c>
      <c r="H102" s="13" t="n">
        <v>20</v>
      </c>
      <c r="I102" s="19"/>
      <c r="J102" s="19"/>
      <c r="K102" s="17" t="str">
        <f aca="false">IF(AND(I102&lt;&gt;"",J102&lt;&gt;"",J102&lt;&gt;0),I102/J102,"")</f>
        <v/>
      </c>
      <c r="L102" s="19"/>
      <c r="M102" s="19"/>
      <c r="N102" s="19"/>
      <c r="O102" s="19" t="n">
        <v>1.5</v>
      </c>
      <c r="P102" s="17" t="str">
        <f aca="false">IF(AND(N102&lt;&gt;"",O102&lt;&gt;"",I102&lt;&gt;"",I102&lt;&gt;0),N102/(O102*9.81*I102),"")</f>
        <v/>
      </c>
      <c r="Q102" s="19"/>
      <c r="R102" s="20"/>
    </row>
    <row r="103" customFormat="false" ht="15" hidden="false" customHeight="false" outlineLevel="0" collapsed="false">
      <c r="A103" s="11" t="n">
        <v>99</v>
      </c>
      <c r="B103" s="11" t="n">
        <v>121</v>
      </c>
      <c r="C103" s="11" t="n">
        <v>25</v>
      </c>
      <c r="D103" s="11" t="n">
        <v>1</v>
      </c>
      <c r="E103" s="11" t="n">
        <v>0.5</v>
      </c>
      <c r="F103" s="11" t="s">
        <v>61</v>
      </c>
      <c r="G103" s="11" t="n">
        <v>10</v>
      </c>
      <c r="H103" s="11" t="n">
        <v>0</v>
      </c>
      <c r="I103" s="16"/>
      <c r="J103" s="16"/>
      <c r="K103" s="17" t="str">
        <f aca="false">IF(AND(I103&lt;&gt;"",J103&lt;&gt;"",J103&lt;&gt;0),I103/J103,"")</f>
        <v/>
      </c>
      <c r="L103" s="16"/>
      <c r="M103" s="16"/>
      <c r="N103" s="16"/>
      <c r="O103" s="16" t="n">
        <v>1.5</v>
      </c>
      <c r="P103" s="17" t="str">
        <f aca="false">IF(AND(N103&lt;&gt;"",O103&lt;&gt;"",I103&lt;&gt;"",I103&lt;&gt;0),N103/(O103*9.81*I103),"")</f>
        <v/>
      </c>
      <c r="Q103" s="16"/>
      <c r="R103" s="18"/>
    </row>
    <row r="104" customFormat="false" ht="15" hidden="false" customHeight="false" outlineLevel="0" collapsed="false">
      <c r="A104" s="13" t="n">
        <v>100</v>
      </c>
      <c r="B104" s="13" t="n">
        <v>246</v>
      </c>
      <c r="C104" s="13" t="n">
        <v>50</v>
      </c>
      <c r="D104" s="13" t="n">
        <v>1</v>
      </c>
      <c r="E104" s="13" t="n">
        <v>1</v>
      </c>
      <c r="F104" s="13" t="s">
        <v>61</v>
      </c>
      <c r="G104" s="13" t="n">
        <v>5</v>
      </c>
      <c r="H104" s="13" t="n">
        <v>10</v>
      </c>
      <c r="I104" s="19"/>
      <c r="J104" s="19"/>
      <c r="K104" s="17" t="str">
        <f aca="false">IF(AND(I104&lt;&gt;"",J104&lt;&gt;"",J104&lt;&gt;0),I104/J104,"")</f>
        <v/>
      </c>
      <c r="L104" s="19"/>
      <c r="M104" s="19"/>
      <c r="N104" s="19"/>
      <c r="O104" s="19" t="n">
        <v>1.5</v>
      </c>
      <c r="P104" s="17" t="str">
        <f aca="false">IF(AND(N104&lt;&gt;"",O104&lt;&gt;"",I104&lt;&gt;"",I104&lt;&gt;0),N104/(O104*9.81*I104),"")</f>
        <v/>
      </c>
      <c r="Q104" s="19"/>
      <c r="R104" s="20"/>
    </row>
    <row r="105" customFormat="false" ht="15" hidden="false" customHeight="false" outlineLevel="0" collapsed="false">
      <c r="A105" s="11" t="n">
        <v>101</v>
      </c>
      <c r="B105" s="11" t="n">
        <v>526</v>
      </c>
      <c r="C105" s="11" t="n">
        <v>106</v>
      </c>
      <c r="D105" s="11" t="n">
        <v>1</v>
      </c>
      <c r="E105" s="11" t="n">
        <v>2</v>
      </c>
      <c r="F105" s="11" t="s">
        <v>61</v>
      </c>
      <c r="G105" s="11" t="n">
        <v>10</v>
      </c>
      <c r="H105" s="11" t="n">
        <v>0</v>
      </c>
      <c r="I105" s="16"/>
      <c r="J105" s="16"/>
      <c r="K105" s="17" t="str">
        <f aca="false">IF(AND(I105&lt;&gt;"",J105&lt;&gt;"",J105&lt;&gt;0),I105/J105,"")</f>
        <v/>
      </c>
      <c r="L105" s="16"/>
      <c r="M105" s="16"/>
      <c r="N105" s="16"/>
      <c r="O105" s="16" t="n">
        <v>1.5</v>
      </c>
      <c r="P105" s="17" t="str">
        <f aca="false">IF(AND(N105&lt;&gt;"",O105&lt;&gt;"",I105&lt;&gt;"",I105&lt;&gt;0),N105/(O105*9.81*I105),"")</f>
        <v/>
      </c>
      <c r="Q105" s="16"/>
      <c r="R105" s="18"/>
    </row>
    <row r="106" customFormat="false" ht="15" hidden="false" customHeight="false" outlineLevel="0" collapsed="false">
      <c r="A106" s="13" t="n">
        <v>102</v>
      </c>
      <c r="B106" s="13" t="n">
        <v>540</v>
      </c>
      <c r="C106" s="13" t="n">
        <v>108</v>
      </c>
      <c r="D106" s="13" t="n">
        <v>5</v>
      </c>
      <c r="E106" s="13" t="n">
        <v>2</v>
      </c>
      <c r="F106" s="13" t="s">
        <v>61</v>
      </c>
      <c r="G106" s="13" t="n">
        <v>10</v>
      </c>
      <c r="H106" s="13" t="n">
        <v>20</v>
      </c>
      <c r="I106" s="19"/>
      <c r="J106" s="19"/>
      <c r="K106" s="17" t="str">
        <f aca="false">IF(AND(I106&lt;&gt;"",J106&lt;&gt;"",J106&lt;&gt;0),I106/J106,"")</f>
        <v/>
      </c>
      <c r="L106" s="19"/>
      <c r="M106" s="19"/>
      <c r="N106" s="19"/>
      <c r="O106" s="19" t="n">
        <v>1.5</v>
      </c>
      <c r="P106" s="17" t="str">
        <f aca="false">IF(AND(N106&lt;&gt;"",O106&lt;&gt;"",I106&lt;&gt;"",I106&lt;&gt;0),N106/(O106*9.81*I106),"")</f>
        <v/>
      </c>
      <c r="Q106" s="19"/>
      <c r="R106" s="20"/>
    </row>
    <row r="107" customFormat="false" ht="15" hidden="false" customHeight="false" outlineLevel="0" collapsed="false">
      <c r="A107" s="11" t="n">
        <v>103</v>
      </c>
      <c r="B107" s="11" t="n">
        <v>75</v>
      </c>
      <c r="C107" s="11" t="n">
        <v>15</v>
      </c>
      <c r="D107" s="11" t="n">
        <v>5</v>
      </c>
      <c r="E107" s="11" t="n">
        <v>0.5</v>
      </c>
      <c r="F107" s="11" t="s">
        <v>59</v>
      </c>
      <c r="G107" s="11" t="n">
        <v>5</v>
      </c>
      <c r="H107" s="11" t="n">
        <v>20</v>
      </c>
      <c r="I107" s="16"/>
      <c r="J107" s="16"/>
      <c r="K107" s="17" t="str">
        <f aca="false">IF(AND(I107&lt;&gt;"",J107&lt;&gt;"",J107&lt;&gt;0),I107/J107,"")</f>
        <v/>
      </c>
      <c r="L107" s="16"/>
      <c r="M107" s="16"/>
      <c r="N107" s="16"/>
      <c r="O107" s="16" t="n">
        <v>1.5</v>
      </c>
      <c r="P107" s="17" t="str">
        <f aca="false">IF(AND(N107&lt;&gt;"",O107&lt;&gt;"",I107&lt;&gt;"",I107&lt;&gt;0),N107/(O107*9.81*I107),"")</f>
        <v/>
      </c>
      <c r="Q107" s="16"/>
      <c r="R107" s="18"/>
    </row>
    <row r="108" customFormat="false" ht="15" hidden="false" customHeight="false" outlineLevel="0" collapsed="false">
      <c r="A108" s="13" t="n">
        <v>104</v>
      </c>
      <c r="B108" s="13" t="n">
        <v>524</v>
      </c>
      <c r="C108" s="13" t="n">
        <v>105</v>
      </c>
      <c r="D108" s="13" t="n">
        <v>4</v>
      </c>
      <c r="E108" s="13" t="n">
        <v>2</v>
      </c>
      <c r="F108" s="13" t="s">
        <v>61</v>
      </c>
      <c r="G108" s="13" t="n">
        <v>5</v>
      </c>
      <c r="H108" s="13" t="n">
        <v>20</v>
      </c>
      <c r="I108" s="19"/>
      <c r="J108" s="19"/>
      <c r="K108" s="17" t="str">
        <f aca="false">IF(AND(I108&lt;&gt;"",J108&lt;&gt;"",J108&lt;&gt;0),I108/J108,"")</f>
        <v/>
      </c>
      <c r="L108" s="19"/>
      <c r="M108" s="19"/>
      <c r="N108" s="19"/>
      <c r="O108" s="19" t="n">
        <v>1.5</v>
      </c>
      <c r="P108" s="17" t="str">
        <f aca="false">IF(AND(N108&lt;&gt;"",O108&lt;&gt;"",I108&lt;&gt;"",I108&lt;&gt;0),N108/(O108*9.81*I108),"")</f>
        <v/>
      </c>
      <c r="Q108" s="19"/>
      <c r="R108" s="20"/>
    </row>
    <row r="109" customFormat="false" ht="15" hidden="false" customHeight="false" outlineLevel="0" collapsed="false">
      <c r="A109" s="11" t="n">
        <v>105</v>
      </c>
      <c r="B109" s="11" t="n">
        <v>5</v>
      </c>
      <c r="C109" s="11" t="n">
        <v>1</v>
      </c>
      <c r="D109" s="11" t="n">
        <v>5</v>
      </c>
      <c r="E109" s="11" t="n">
        <v>0.5</v>
      </c>
      <c r="F109" s="11" t="s">
        <v>57</v>
      </c>
      <c r="G109" s="11" t="n">
        <v>2</v>
      </c>
      <c r="H109" s="11" t="n">
        <v>0</v>
      </c>
      <c r="I109" s="16"/>
      <c r="J109" s="16"/>
      <c r="K109" s="17" t="str">
        <f aca="false">IF(AND(I109&lt;&gt;"",J109&lt;&gt;"",J109&lt;&gt;0),I109/J109,"")</f>
        <v/>
      </c>
      <c r="L109" s="16"/>
      <c r="M109" s="16"/>
      <c r="N109" s="16"/>
      <c r="O109" s="16" t="n">
        <v>1.5</v>
      </c>
      <c r="P109" s="17" t="str">
        <f aca="false">IF(AND(N109&lt;&gt;"",O109&lt;&gt;"",I109&lt;&gt;"",I109&lt;&gt;0),N109/(O109*9.81*I109),"")</f>
        <v/>
      </c>
      <c r="Q109" s="16"/>
      <c r="R109" s="18"/>
    </row>
    <row r="110" customFormat="false" ht="15" hidden="false" customHeight="false" outlineLevel="0" collapsed="false">
      <c r="A110" s="13" t="n">
        <v>106</v>
      </c>
      <c r="B110" s="13" t="n">
        <v>400</v>
      </c>
      <c r="C110" s="13" t="n">
        <v>80</v>
      </c>
      <c r="D110" s="13" t="n">
        <v>5</v>
      </c>
      <c r="E110" s="13" t="n">
        <v>1.5</v>
      </c>
      <c r="F110" s="13" t="s">
        <v>61</v>
      </c>
      <c r="G110" s="13" t="n">
        <v>10</v>
      </c>
      <c r="H110" s="13" t="n">
        <v>10</v>
      </c>
      <c r="I110" s="19"/>
      <c r="J110" s="19"/>
      <c r="K110" s="17" t="str">
        <f aca="false">IF(AND(I110&lt;&gt;"",J110&lt;&gt;"",J110&lt;&gt;0),I110/J110,"")</f>
        <v/>
      </c>
      <c r="L110" s="19"/>
      <c r="M110" s="19"/>
      <c r="N110" s="19"/>
      <c r="O110" s="19" t="n">
        <v>1.5</v>
      </c>
      <c r="P110" s="17" t="str">
        <f aca="false">IF(AND(N110&lt;&gt;"",O110&lt;&gt;"",I110&lt;&gt;"",I110&lt;&gt;0),N110/(O110*9.81*I110),"")</f>
        <v/>
      </c>
      <c r="Q110" s="19"/>
      <c r="R110" s="20"/>
    </row>
    <row r="111" customFormat="false" ht="15" hidden="false" customHeight="false" outlineLevel="0" collapsed="false">
      <c r="A111" s="11" t="n">
        <v>107</v>
      </c>
      <c r="B111" s="11" t="n">
        <v>20</v>
      </c>
      <c r="C111" s="11" t="n">
        <v>4</v>
      </c>
      <c r="D111" s="11" t="n">
        <v>5</v>
      </c>
      <c r="E111" s="11" t="n">
        <v>0.5</v>
      </c>
      <c r="F111" s="11" t="s">
        <v>57</v>
      </c>
      <c r="G111" s="11" t="n">
        <v>5</v>
      </c>
      <c r="H111" s="11" t="n">
        <v>0</v>
      </c>
      <c r="I111" s="16"/>
      <c r="J111" s="16"/>
      <c r="K111" s="17" t="str">
        <f aca="false">IF(AND(I111&lt;&gt;"",J111&lt;&gt;"",J111&lt;&gt;0),I111/J111,"")</f>
        <v/>
      </c>
      <c r="L111" s="16"/>
      <c r="M111" s="16"/>
      <c r="N111" s="16"/>
      <c r="O111" s="16" t="n">
        <v>1.5</v>
      </c>
      <c r="P111" s="17" t="str">
        <f aca="false">IF(AND(N111&lt;&gt;"",O111&lt;&gt;"",I111&lt;&gt;"",I111&lt;&gt;0),N111/(O111*9.81*I111),"")</f>
        <v/>
      </c>
      <c r="Q111" s="16"/>
      <c r="R111" s="18"/>
    </row>
    <row r="112" customFormat="false" ht="15" hidden="false" customHeight="false" outlineLevel="0" collapsed="false">
      <c r="A112" s="13" t="n">
        <v>108</v>
      </c>
      <c r="B112" s="13" t="n">
        <v>89</v>
      </c>
      <c r="C112" s="13" t="n">
        <v>18</v>
      </c>
      <c r="D112" s="13" t="n">
        <v>4</v>
      </c>
      <c r="E112" s="13" t="n">
        <v>0.5</v>
      </c>
      <c r="F112" s="13" t="s">
        <v>59</v>
      </c>
      <c r="G112" s="13" t="n">
        <v>10</v>
      </c>
      <c r="H112" s="13" t="n">
        <v>20</v>
      </c>
      <c r="I112" s="19"/>
      <c r="J112" s="19"/>
      <c r="K112" s="17" t="str">
        <f aca="false">IF(AND(I112&lt;&gt;"",J112&lt;&gt;"",J112&lt;&gt;0),I112/J112,"")</f>
        <v/>
      </c>
      <c r="L112" s="19"/>
      <c r="M112" s="19"/>
      <c r="N112" s="19"/>
      <c r="O112" s="19" t="n">
        <v>1.5</v>
      </c>
      <c r="P112" s="17" t="str">
        <f aca="false">IF(AND(N112&lt;&gt;"",O112&lt;&gt;"",I112&lt;&gt;"",I112&lt;&gt;0),N112/(O112*9.81*I112),"")</f>
        <v/>
      </c>
      <c r="Q112" s="19"/>
      <c r="R112" s="20"/>
    </row>
    <row r="113" customFormat="false" ht="15" hidden="false" customHeight="false" outlineLevel="0" collapsed="false">
      <c r="A113" s="11" t="n">
        <v>109</v>
      </c>
      <c r="B113" s="11" t="n">
        <v>346</v>
      </c>
      <c r="C113" s="11" t="n">
        <v>70</v>
      </c>
      <c r="D113" s="11" t="n">
        <v>1</v>
      </c>
      <c r="E113" s="11" t="n">
        <v>1.5</v>
      </c>
      <c r="F113" s="11" t="s">
        <v>59</v>
      </c>
      <c r="G113" s="11" t="n">
        <v>10</v>
      </c>
      <c r="H113" s="11" t="n">
        <v>0</v>
      </c>
      <c r="I113" s="16"/>
      <c r="J113" s="16"/>
      <c r="K113" s="17" t="str">
        <f aca="false">IF(AND(I113&lt;&gt;"",J113&lt;&gt;"",J113&lt;&gt;0),I113/J113,"")</f>
        <v/>
      </c>
      <c r="L113" s="16"/>
      <c r="M113" s="16"/>
      <c r="N113" s="16"/>
      <c r="O113" s="16" t="n">
        <v>1.5</v>
      </c>
      <c r="P113" s="17" t="str">
        <f aca="false">IF(AND(N113&lt;&gt;"",O113&lt;&gt;"",I113&lt;&gt;"",I113&lt;&gt;0),N113/(O113*9.81*I113),"")</f>
        <v/>
      </c>
      <c r="Q113" s="16"/>
      <c r="R113" s="18"/>
    </row>
    <row r="114" customFormat="false" ht="15" hidden="false" customHeight="false" outlineLevel="0" collapsed="false">
      <c r="A114" s="13" t="n">
        <v>110</v>
      </c>
      <c r="B114" s="13" t="n">
        <v>452</v>
      </c>
      <c r="C114" s="13" t="n">
        <v>91</v>
      </c>
      <c r="D114" s="13" t="n">
        <v>2</v>
      </c>
      <c r="E114" s="13" t="n">
        <v>2</v>
      </c>
      <c r="F114" s="13" t="s">
        <v>59</v>
      </c>
      <c r="G114" s="13" t="n">
        <v>2</v>
      </c>
      <c r="H114" s="13" t="n">
        <v>0</v>
      </c>
      <c r="I114" s="19"/>
      <c r="J114" s="19"/>
      <c r="K114" s="17" t="str">
        <f aca="false">IF(AND(I114&lt;&gt;"",J114&lt;&gt;"",J114&lt;&gt;0),I114/J114,"")</f>
        <v/>
      </c>
      <c r="L114" s="19"/>
      <c r="M114" s="19"/>
      <c r="N114" s="19"/>
      <c r="O114" s="19" t="n">
        <v>1.5</v>
      </c>
      <c r="P114" s="17" t="str">
        <f aca="false">IF(AND(N114&lt;&gt;"",O114&lt;&gt;"",I114&lt;&gt;"",I114&lt;&gt;0),N114/(O114*9.81*I114),"")</f>
        <v/>
      </c>
      <c r="Q114" s="19"/>
      <c r="R114" s="20"/>
    </row>
    <row r="115" customFormat="false" ht="15" hidden="false" customHeight="false" outlineLevel="0" collapsed="false">
      <c r="A115" s="11" t="n">
        <v>111</v>
      </c>
      <c r="B115" s="11" t="n">
        <v>367</v>
      </c>
      <c r="C115" s="11" t="n">
        <v>74</v>
      </c>
      <c r="D115" s="11" t="n">
        <v>2</v>
      </c>
      <c r="E115" s="11" t="n">
        <v>1.5</v>
      </c>
      <c r="F115" s="11" t="s">
        <v>61</v>
      </c>
      <c r="G115" s="11" t="n">
        <v>2</v>
      </c>
      <c r="H115" s="11" t="n">
        <v>10</v>
      </c>
      <c r="I115" s="16"/>
      <c r="J115" s="16"/>
      <c r="K115" s="17" t="str">
        <f aca="false">IF(AND(I115&lt;&gt;"",J115&lt;&gt;"",J115&lt;&gt;0),I115/J115,"")</f>
        <v/>
      </c>
      <c r="L115" s="16"/>
      <c r="M115" s="16"/>
      <c r="N115" s="16"/>
      <c r="O115" s="16" t="n">
        <v>1.5</v>
      </c>
      <c r="P115" s="17" t="str">
        <f aca="false">IF(AND(N115&lt;&gt;"",O115&lt;&gt;"",I115&lt;&gt;"",I115&lt;&gt;0),N115/(O115*9.81*I115),"")</f>
        <v/>
      </c>
      <c r="Q115" s="16"/>
      <c r="R115" s="18"/>
    </row>
    <row r="116" customFormat="false" ht="15" hidden="false" customHeight="false" outlineLevel="0" collapsed="false">
      <c r="A116" s="13" t="n">
        <v>112</v>
      </c>
      <c r="B116" s="13" t="n">
        <v>267</v>
      </c>
      <c r="C116" s="13" t="n">
        <v>54</v>
      </c>
      <c r="D116" s="13" t="n">
        <v>2</v>
      </c>
      <c r="E116" s="13" t="n">
        <v>1</v>
      </c>
      <c r="F116" s="13" t="s">
        <v>61</v>
      </c>
      <c r="G116" s="13" t="n">
        <v>10</v>
      </c>
      <c r="H116" s="13" t="n">
        <v>20</v>
      </c>
      <c r="I116" s="19"/>
      <c r="J116" s="19"/>
      <c r="K116" s="17" t="str">
        <f aca="false">IF(AND(I116&lt;&gt;"",J116&lt;&gt;"",J116&lt;&gt;0),I116/J116,"")</f>
        <v/>
      </c>
      <c r="L116" s="19"/>
      <c r="M116" s="19"/>
      <c r="N116" s="19"/>
      <c r="O116" s="19" t="n">
        <v>1.5</v>
      </c>
      <c r="P116" s="17" t="str">
        <f aca="false">IF(AND(N116&lt;&gt;"",O116&lt;&gt;"",I116&lt;&gt;"",I116&lt;&gt;0),N116/(O116*9.81*I116),"")</f>
        <v/>
      </c>
      <c r="Q116" s="19"/>
      <c r="R116" s="20"/>
    </row>
    <row r="117" customFormat="false" ht="15" hidden="false" customHeight="false" outlineLevel="0" collapsed="false">
      <c r="A117" s="11" t="n">
        <v>113</v>
      </c>
      <c r="B117" s="11" t="n">
        <v>424</v>
      </c>
      <c r="C117" s="11" t="n">
        <v>85</v>
      </c>
      <c r="D117" s="11" t="n">
        <v>4</v>
      </c>
      <c r="E117" s="11" t="n">
        <v>2</v>
      </c>
      <c r="F117" s="11" t="s">
        <v>57</v>
      </c>
      <c r="G117" s="11" t="n">
        <v>5</v>
      </c>
      <c r="H117" s="11" t="n">
        <v>0</v>
      </c>
      <c r="I117" s="16"/>
      <c r="J117" s="16"/>
      <c r="K117" s="17" t="str">
        <f aca="false">IF(AND(I117&lt;&gt;"",J117&lt;&gt;"",J117&lt;&gt;0),I117/J117,"")</f>
        <v/>
      </c>
      <c r="L117" s="16"/>
      <c r="M117" s="16"/>
      <c r="N117" s="16"/>
      <c r="O117" s="16" t="n">
        <v>1.5</v>
      </c>
      <c r="P117" s="17" t="str">
        <f aca="false">IF(AND(N117&lt;&gt;"",O117&lt;&gt;"",I117&lt;&gt;"",I117&lt;&gt;0),N117/(O117*9.81*I117),"")</f>
        <v/>
      </c>
      <c r="Q117" s="16"/>
      <c r="R117" s="18"/>
    </row>
    <row r="118" customFormat="false" ht="15" hidden="false" customHeight="false" outlineLevel="0" collapsed="false">
      <c r="A118" s="13" t="n">
        <v>114</v>
      </c>
      <c r="B118" s="13" t="n">
        <v>91</v>
      </c>
      <c r="C118" s="13" t="n">
        <v>19</v>
      </c>
      <c r="D118" s="13" t="n">
        <v>1</v>
      </c>
      <c r="E118" s="13" t="n">
        <v>0.5</v>
      </c>
      <c r="F118" s="13" t="s">
        <v>61</v>
      </c>
      <c r="G118" s="13" t="n">
        <v>2</v>
      </c>
      <c r="H118" s="13" t="n">
        <v>0</v>
      </c>
      <c r="I118" s="19"/>
      <c r="J118" s="19"/>
      <c r="K118" s="17" t="str">
        <f aca="false">IF(AND(I118&lt;&gt;"",J118&lt;&gt;"",J118&lt;&gt;0),I118/J118,"")</f>
        <v/>
      </c>
      <c r="L118" s="19"/>
      <c r="M118" s="19"/>
      <c r="N118" s="19"/>
      <c r="O118" s="19" t="n">
        <v>1.5</v>
      </c>
      <c r="P118" s="17" t="str">
        <f aca="false">IF(AND(N118&lt;&gt;"",O118&lt;&gt;"",I118&lt;&gt;"",I118&lt;&gt;0),N118/(O118*9.81*I118),"")</f>
        <v/>
      </c>
      <c r="Q118" s="19"/>
      <c r="R118" s="20"/>
    </row>
    <row r="119" customFormat="false" ht="15" hidden="false" customHeight="false" outlineLevel="0" collapsed="false">
      <c r="A119" s="11" t="n">
        <v>115</v>
      </c>
      <c r="B119" s="11" t="n">
        <v>402</v>
      </c>
      <c r="C119" s="11" t="n">
        <v>81</v>
      </c>
      <c r="D119" s="11" t="n">
        <v>2</v>
      </c>
      <c r="E119" s="11" t="n">
        <v>1.5</v>
      </c>
      <c r="F119" s="11" t="s">
        <v>61</v>
      </c>
      <c r="G119" s="11" t="n">
        <v>10</v>
      </c>
      <c r="H119" s="11" t="n">
        <v>20</v>
      </c>
      <c r="I119" s="16"/>
      <c r="J119" s="16"/>
      <c r="K119" s="17" t="str">
        <f aca="false">IF(AND(I119&lt;&gt;"",J119&lt;&gt;"",J119&lt;&gt;0),I119/J119,"")</f>
        <v/>
      </c>
      <c r="L119" s="16"/>
      <c r="M119" s="16"/>
      <c r="N119" s="16"/>
      <c r="O119" s="16" t="n">
        <v>1.5</v>
      </c>
      <c r="P119" s="17" t="str">
        <f aca="false">IF(AND(N119&lt;&gt;"",O119&lt;&gt;"",I119&lt;&gt;"",I119&lt;&gt;0),N119/(O119*9.81*I119),"")</f>
        <v/>
      </c>
      <c r="Q119" s="16"/>
      <c r="R119" s="18"/>
    </row>
    <row r="120" customFormat="false" ht="15" hidden="false" customHeight="false" outlineLevel="0" collapsed="false">
      <c r="A120" s="13" t="n">
        <v>116</v>
      </c>
      <c r="B120" s="13" t="n">
        <v>478</v>
      </c>
      <c r="C120" s="13" t="n">
        <v>96</v>
      </c>
      <c r="D120" s="13" t="n">
        <v>3</v>
      </c>
      <c r="E120" s="13" t="n">
        <v>2</v>
      </c>
      <c r="F120" s="13" t="s">
        <v>59</v>
      </c>
      <c r="G120" s="13" t="n">
        <v>5</v>
      </c>
      <c r="H120" s="13" t="n">
        <v>20</v>
      </c>
      <c r="I120" s="19"/>
      <c r="J120" s="19"/>
      <c r="K120" s="17" t="str">
        <f aca="false">IF(AND(I120&lt;&gt;"",J120&lt;&gt;"",J120&lt;&gt;0),I120/J120,"")</f>
        <v/>
      </c>
      <c r="L120" s="19"/>
      <c r="M120" s="19"/>
      <c r="N120" s="19"/>
      <c r="O120" s="19" t="n">
        <v>1.5</v>
      </c>
      <c r="P120" s="17" t="str">
        <f aca="false">IF(AND(N120&lt;&gt;"",O120&lt;&gt;"",I120&lt;&gt;"",I120&lt;&gt;0),N120/(O120*9.81*I120),"")</f>
        <v/>
      </c>
      <c r="Q120" s="19"/>
      <c r="R120" s="20"/>
    </row>
    <row r="121" customFormat="false" ht="15" hidden="false" customHeight="false" outlineLevel="0" collapsed="false">
      <c r="A121" s="11" t="n">
        <v>117</v>
      </c>
      <c r="B121" s="11" t="n">
        <v>155</v>
      </c>
      <c r="C121" s="11" t="n">
        <v>31</v>
      </c>
      <c r="D121" s="11" t="n">
        <v>5</v>
      </c>
      <c r="E121" s="11" t="n">
        <v>1</v>
      </c>
      <c r="F121" s="11" t="s">
        <v>57</v>
      </c>
      <c r="G121" s="11" t="n">
        <v>5</v>
      </c>
      <c r="H121" s="11" t="n">
        <v>0</v>
      </c>
      <c r="I121" s="16"/>
      <c r="J121" s="16"/>
      <c r="K121" s="17" t="str">
        <f aca="false">IF(AND(I121&lt;&gt;"",J121&lt;&gt;"",J121&lt;&gt;0),I121/J121,"")</f>
        <v/>
      </c>
      <c r="L121" s="16"/>
      <c r="M121" s="16"/>
      <c r="N121" s="16"/>
      <c r="O121" s="16" t="n">
        <v>1.5</v>
      </c>
      <c r="P121" s="17" t="str">
        <f aca="false">IF(AND(N121&lt;&gt;"",O121&lt;&gt;"",I121&lt;&gt;"",I121&lt;&gt;0),N121/(O121*9.81*I121),"")</f>
        <v/>
      </c>
      <c r="Q121" s="16"/>
      <c r="R121" s="18"/>
    </row>
    <row r="122" customFormat="false" ht="15" hidden="false" customHeight="false" outlineLevel="0" collapsed="false">
      <c r="A122" s="13" t="n">
        <v>118</v>
      </c>
      <c r="B122" s="13" t="n">
        <v>464</v>
      </c>
      <c r="C122" s="13" t="n">
        <v>93</v>
      </c>
      <c r="D122" s="13" t="n">
        <v>4</v>
      </c>
      <c r="E122" s="13" t="n">
        <v>2</v>
      </c>
      <c r="F122" s="13" t="s">
        <v>59</v>
      </c>
      <c r="G122" s="13" t="n">
        <v>2</v>
      </c>
      <c r="H122" s="13" t="n">
        <v>20</v>
      </c>
      <c r="I122" s="19"/>
      <c r="J122" s="19"/>
      <c r="K122" s="17" t="str">
        <f aca="false">IF(AND(I122&lt;&gt;"",J122&lt;&gt;"",J122&lt;&gt;0),I122/J122,"")</f>
        <v/>
      </c>
      <c r="L122" s="19"/>
      <c r="M122" s="19"/>
      <c r="N122" s="19"/>
      <c r="O122" s="19" t="n">
        <v>1.5</v>
      </c>
      <c r="P122" s="17" t="str">
        <f aca="false">IF(AND(N122&lt;&gt;"",O122&lt;&gt;"",I122&lt;&gt;"",I122&lt;&gt;0),N122/(O122*9.81*I122),"")</f>
        <v/>
      </c>
      <c r="Q122" s="19"/>
      <c r="R122" s="20"/>
    </row>
    <row r="123" customFormat="false" ht="15" hidden="false" customHeight="false" outlineLevel="0" collapsed="false">
      <c r="A123" s="11" t="n">
        <v>119</v>
      </c>
      <c r="B123" s="11" t="n">
        <v>191</v>
      </c>
      <c r="C123" s="11" t="n">
        <v>39</v>
      </c>
      <c r="D123" s="11" t="n">
        <v>1</v>
      </c>
      <c r="E123" s="11" t="n">
        <v>1</v>
      </c>
      <c r="F123" s="11" t="s">
        <v>59</v>
      </c>
      <c r="G123" s="11" t="n">
        <v>2</v>
      </c>
      <c r="H123" s="11" t="n">
        <v>20</v>
      </c>
      <c r="I123" s="16"/>
      <c r="J123" s="16"/>
      <c r="K123" s="17" t="str">
        <f aca="false">IF(AND(I123&lt;&gt;"",J123&lt;&gt;"",J123&lt;&gt;0),I123/J123,"")</f>
        <v/>
      </c>
      <c r="L123" s="16"/>
      <c r="M123" s="16"/>
      <c r="N123" s="16"/>
      <c r="O123" s="16" t="n">
        <v>1.5</v>
      </c>
      <c r="P123" s="17" t="str">
        <f aca="false">IF(AND(N123&lt;&gt;"",O123&lt;&gt;"",I123&lt;&gt;"",I123&lt;&gt;0),N123/(O123*9.81*I123),"")</f>
        <v/>
      </c>
      <c r="Q123" s="16"/>
      <c r="R123" s="18"/>
    </row>
    <row r="124" customFormat="false" ht="15" hidden="false" customHeight="false" outlineLevel="0" collapsed="false">
      <c r="A124" s="13" t="n">
        <v>120</v>
      </c>
      <c r="B124" s="13" t="n">
        <v>393</v>
      </c>
      <c r="C124" s="13" t="n">
        <v>79</v>
      </c>
      <c r="D124" s="13" t="n">
        <v>3</v>
      </c>
      <c r="E124" s="13" t="n">
        <v>1.5</v>
      </c>
      <c r="F124" s="13" t="s">
        <v>61</v>
      </c>
      <c r="G124" s="13" t="n">
        <v>10</v>
      </c>
      <c r="H124" s="13" t="n">
        <v>0</v>
      </c>
      <c r="I124" s="19"/>
      <c r="J124" s="19"/>
      <c r="K124" s="17" t="str">
        <f aca="false">IF(AND(I124&lt;&gt;"",J124&lt;&gt;"",J124&lt;&gt;0),I124/J124,"")</f>
        <v/>
      </c>
      <c r="L124" s="19"/>
      <c r="M124" s="19"/>
      <c r="N124" s="19"/>
      <c r="O124" s="19" t="n">
        <v>1.5</v>
      </c>
      <c r="P124" s="17" t="str">
        <f aca="false">IF(AND(N124&lt;&gt;"",O124&lt;&gt;"",I124&lt;&gt;"",I124&lt;&gt;0),N124/(O124*9.81*I124),"")</f>
        <v/>
      </c>
      <c r="Q124" s="19"/>
      <c r="R124" s="20"/>
    </row>
    <row r="125" customFormat="false" ht="15" hidden="false" customHeight="false" outlineLevel="0" collapsed="false">
      <c r="A125" s="11" t="n">
        <v>121</v>
      </c>
      <c r="B125" s="11" t="n">
        <v>406</v>
      </c>
      <c r="C125" s="11" t="n">
        <v>82</v>
      </c>
      <c r="D125" s="11" t="n">
        <v>1</v>
      </c>
      <c r="E125" s="11" t="n">
        <v>2</v>
      </c>
      <c r="F125" s="11" t="s">
        <v>57</v>
      </c>
      <c r="G125" s="11" t="n">
        <v>2</v>
      </c>
      <c r="H125" s="11" t="n">
        <v>0</v>
      </c>
      <c r="I125" s="16"/>
      <c r="J125" s="16"/>
      <c r="K125" s="17" t="str">
        <f aca="false">IF(AND(I125&lt;&gt;"",J125&lt;&gt;"",J125&lt;&gt;0),I125/J125,"")</f>
        <v/>
      </c>
      <c r="L125" s="16"/>
      <c r="M125" s="16"/>
      <c r="N125" s="16"/>
      <c r="O125" s="16" t="n">
        <v>1.5</v>
      </c>
      <c r="P125" s="17" t="str">
        <f aca="false">IF(AND(N125&lt;&gt;"",O125&lt;&gt;"",I125&lt;&gt;"",I125&lt;&gt;0),N125/(O125*9.81*I125),"")</f>
        <v/>
      </c>
      <c r="Q125" s="16"/>
      <c r="R125" s="18"/>
    </row>
    <row r="126" customFormat="false" ht="15" hidden="false" customHeight="false" outlineLevel="0" collapsed="false">
      <c r="A126" s="13" t="n">
        <v>122</v>
      </c>
      <c r="B126" s="13" t="n">
        <v>270</v>
      </c>
      <c r="C126" s="13" t="n">
        <v>54</v>
      </c>
      <c r="D126" s="13" t="n">
        <v>5</v>
      </c>
      <c r="E126" s="13" t="n">
        <v>1</v>
      </c>
      <c r="F126" s="13" t="s">
        <v>61</v>
      </c>
      <c r="G126" s="13" t="n">
        <v>10</v>
      </c>
      <c r="H126" s="13" t="n">
        <v>20</v>
      </c>
      <c r="I126" s="19"/>
      <c r="J126" s="19"/>
      <c r="K126" s="17" t="str">
        <f aca="false">IF(AND(I126&lt;&gt;"",J126&lt;&gt;"",J126&lt;&gt;0),I126/J126,"")</f>
        <v/>
      </c>
      <c r="L126" s="19"/>
      <c r="M126" s="19"/>
      <c r="N126" s="19"/>
      <c r="O126" s="19" t="n">
        <v>1.5</v>
      </c>
      <c r="P126" s="17" t="str">
        <f aca="false">IF(AND(N126&lt;&gt;"",O126&lt;&gt;"",I126&lt;&gt;"",I126&lt;&gt;0),N126/(O126*9.81*I126),"")</f>
        <v/>
      </c>
      <c r="Q126" s="19"/>
      <c r="R126" s="20"/>
    </row>
    <row r="127" customFormat="false" ht="15" hidden="false" customHeight="false" outlineLevel="0" collapsed="false">
      <c r="A127" s="11" t="n">
        <v>123</v>
      </c>
      <c r="B127" s="11" t="n">
        <v>242</v>
      </c>
      <c r="C127" s="11" t="n">
        <v>49</v>
      </c>
      <c r="D127" s="11" t="n">
        <v>2</v>
      </c>
      <c r="E127" s="11" t="n">
        <v>1</v>
      </c>
      <c r="F127" s="11" t="s">
        <v>61</v>
      </c>
      <c r="G127" s="11" t="n">
        <v>5</v>
      </c>
      <c r="H127" s="11" t="n">
        <v>0</v>
      </c>
      <c r="I127" s="16"/>
      <c r="J127" s="16"/>
      <c r="K127" s="17" t="str">
        <f aca="false">IF(AND(I127&lt;&gt;"",J127&lt;&gt;"",J127&lt;&gt;0),I127/J127,"")</f>
        <v/>
      </c>
      <c r="L127" s="16"/>
      <c r="M127" s="16"/>
      <c r="N127" s="16"/>
      <c r="O127" s="16" t="n">
        <v>1.5</v>
      </c>
      <c r="P127" s="17" t="str">
        <f aca="false">IF(AND(N127&lt;&gt;"",O127&lt;&gt;"",I127&lt;&gt;"",I127&lt;&gt;0),N127/(O127*9.81*I127),"")</f>
        <v/>
      </c>
      <c r="Q127" s="16"/>
      <c r="R127" s="18"/>
    </row>
    <row r="128" customFormat="false" ht="15" hidden="false" customHeight="false" outlineLevel="0" collapsed="false">
      <c r="A128" s="13" t="n">
        <v>124</v>
      </c>
      <c r="B128" s="13" t="n">
        <v>278</v>
      </c>
      <c r="C128" s="13" t="n">
        <v>56</v>
      </c>
      <c r="D128" s="13" t="n">
        <v>3</v>
      </c>
      <c r="E128" s="13" t="n">
        <v>1.5</v>
      </c>
      <c r="F128" s="13" t="s">
        <v>57</v>
      </c>
      <c r="G128" s="13" t="n">
        <v>2</v>
      </c>
      <c r="H128" s="13" t="n">
        <v>10</v>
      </c>
      <c r="I128" s="19"/>
      <c r="J128" s="19"/>
      <c r="K128" s="17" t="str">
        <f aca="false">IF(AND(I128&lt;&gt;"",J128&lt;&gt;"",J128&lt;&gt;0),I128/J128,"")</f>
        <v/>
      </c>
      <c r="L128" s="19"/>
      <c r="M128" s="19"/>
      <c r="N128" s="19"/>
      <c r="O128" s="19" t="n">
        <v>1.5</v>
      </c>
      <c r="P128" s="17" t="str">
        <f aca="false">IF(AND(N128&lt;&gt;"",O128&lt;&gt;"",I128&lt;&gt;"",I128&lt;&gt;0),N128/(O128*9.81*I128),"")</f>
        <v/>
      </c>
      <c r="Q128" s="19"/>
      <c r="R128" s="20"/>
    </row>
    <row r="129" customFormat="false" ht="15" hidden="false" customHeight="false" outlineLevel="0" collapsed="false">
      <c r="A129" s="11" t="n">
        <v>125</v>
      </c>
      <c r="B129" s="11" t="n">
        <v>381</v>
      </c>
      <c r="C129" s="11" t="n">
        <v>77</v>
      </c>
      <c r="D129" s="11" t="n">
        <v>1</v>
      </c>
      <c r="E129" s="11" t="n">
        <v>1.5</v>
      </c>
      <c r="F129" s="11" t="s">
        <v>61</v>
      </c>
      <c r="G129" s="11" t="n">
        <v>5</v>
      </c>
      <c r="H129" s="11" t="n">
        <v>10</v>
      </c>
      <c r="I129" s="16"/>
      <c r="J129" s="16"/>
      <c r="K129" s="17" t="str">
        <f aca="false">IF(AND(I129&lt;&gt;"",J129&lt;&gt;"",J129&lt;&gt;0),I129/J129,"")</f>
        <v/>
      </c>
      <c r="L129" s="16"/>
      <c r="M129" s="16"/>
      <c r="N129" s="16"/>
      <c r="O129" s="16" t="n">
        <v>1.5</v>
      </c>
      <c r="P129" s="17" t="str">
        <f aca="false">IF(AND(N129&lt;&gt;"",O129&lt;&gt;"",I129&lt;&gt;"",I129&lt;&gt;0),N129/(O129*9.81*I129),"")</f>
        <v/>
      </c>
      <c r="Q129" s="16"/>
      <c r="R129" s="18"/>
    </row>
    <row r="130" customFormat="false" ht="15" hidden="false" customHeight="false" outlineLevel="0" collapsed="false">
      <c r="A130" s="13" t="n">
        <v>126</v>
      </c>
      <c r="B130" s="13" t="n">
        <v>335</v>
      </c>
      <c r="C130" s="13" t="n">
        <v>67</v>
      </c>
      <c r="D130" s="13" t="n">
        <v>5</v>
      </c>
      <c r="E130" s="13" t="n">
        <v>1.5</v>
      </c>
      <c r="F130" s="13" t="s">
        <v>59</v>
      </c>
      <c r="G130" s="13" t="n">
        <v>5</v>
      </c>
      <c r="H130" s="13" t="n">
        <v>0</v>
      </c>
      <c r="I130" s="19"/>
      <c r="J130" s="19"/>
      <c r="K130" s="17" t="str">
        <f aca="false">IF(AND(I130&lt;&gt;"",J130&lt;&gt;"",J130&lt;&gt;0),I130/J130,"")</f>
        <v/>
      </c>
      <c r="L130" s="19"/>
      <c r="M130" s="19"/>
      <c r="N130" s="19"/>
      <c r="O130" s="19" t="n">
        <v>1.5</v>
      </c>
      <c r="P130" s="17" t="str">
        <f aca="false">IF(AND(N130&lt;&gt;"",O130&lt;&gt;"",I130&lt;&gt;"",I130&lt;&gt;0),N130/(O130*9.81*I130),"")</f>
        <v/>
      </c>
      <c r="Q130" s="19"/>
      <c r="R130" s="20"/>
    </row>
    <row r="131" customFormat="false" ht="15" hidden="false" customHeight="false" outlineLevel="0" collapsed="false">
      <c r="A131" s="11" t="n">
        <v>127</v>
      </c>
      <c r="B131" s="11" t="n">
        <v>107</v>
      </c>
      <c r="C131" s="11" t="n">
        <v>22</v>
      </c>
      <c r="D131" s="11" t="n">
        <v>2</v>
      </c>
      <c r="E131" s="11" t="n">
        <v>0.5</v>
      </c>
      <c r="F131" s="11" t="s">
        <v>61</v>
      </c>
      <c r="G131" s="11" t="n">
        <v>5</v>
      </c>
      <c r="H131" s="11" t="n">
        <v>0</v>
      </c>
      <c r="I131" s="16"/>
      <c r="J131" s="16"/>
      <c r="K131" s="17" t="str">
        <f aca="false">IF(AND(I131&lt;&gt;"",J131&lt;&gt;"",J131&lt;&gt;0),I131/J131,"")</f>
        <v/>
      </c>
      <c r="L131" s="16"/>
      <c r="M131" s="16"/>
      <c r="N131" s="16"/>
      <c r="O131" s="16" t="n">
        <v>1.5</v>
      </c>
      <c r="P131" s="17" t="str">
        <f aca="false">IF(AND(N131&lt;&gt;"",O131&lt;&gt;"",I131&lt;&gt;"",I131&lt;&gt;0),N131/(O131*9.81*I131),"")</f>
        <v/>
      </c>
      <c r="Q131" s="16"/>
      <c r="R131" s="18"/>
    </row>
    <row r="132" customFormat="false" ht="15" hidden="false" customHeight="false" outlineLevel="0" collapsed="false">
      <c r="A132" s="13" t="n">
        <v>128</v>
      </c>
      <c r="B132" s="13" t="n">
        <v>491</v>
      </c>
      <c r="C132" s="13" t="n">
        <v>99</v>
      </c>
      <c r="D132" s="13" t="n">
        <v>1</v>
      </c>
      <c r="E132" s="13" t="n">
        <v>2</v>
      </c>
      <c r="F132" s="13" t="s">
        <v>59</v>
      </c>
      <c r="G132" s="13" t="n">
        <v>10</v>
      </c>
      <c r="H132" s="13" t="n">
        <v>20</v>
      </c>
      <c r="I132" s="19"/>
      <c r="J132" s="19"/>
      <c r="K132" s="17" t="str">
        <f aca="false">IF(AND(I132&lt;&gt;"",J132&lt;&gt;"",J132&lt;&gt;0),I132/J132,"")</f>
        <v/>
      </c>
      <c r="L132" s="19"/>
      <c r="M132" s="19"/>
      <c r="N132" s="19"/>
      <c r="O132" s="19" t="n">
        <v>1.5</v>
      </c>
      <c r="P132" s="17" t="str">
        <f aca="false">IF(AND(N132&lt;&gt;"",O132&lt;&gt;"",I132&lt;&gt;"",I132&lt;&gt;0),N132/(O132*9.81*I132),"")</f>
        <v/>
      </c>
      <c r="Q132" s="19"/>
      <c r="R132" s="20"/>
    </row>
    <row r="133" customFormat="false" ht="15" hidden="false" customHeight="false" outlineLevel="0" collapsed="false">
      <c r="A133" s="11" t="n">
        <v>129</v>
      </c>
      <c r="B133" s="11" t="n">
        <v>481</v>
      </c>
      <c r="C133" s="11" t="n">
        <v>97</v>
      </c>
      <c r="D133" s="11" t="n">
        <v>1</v>
      </c>
      <c r="E133" s="11" t="n">
        <v>2</v>
      </c>
      <c r="F133" s="11" t="s">
        <v>59</v>
      </c>
      <c r="G133" s="11" t="n">
        <v>10</v>
      </c>
      <c r="H133" s="11" t="n">
        <v>0</v>
      </c>
      <c r="I133" s="16"/>
      <c r="J133" s="16"/>
      <c r="K133" s="17" t="str">
        <f aca="false">IF(AND(I133&lt;&gt;"",J133&lt;&gt;"",J133&lt;&gt;0),I133/J133,"")</f>
        <v/>
      </c>
      <c r="L133" s="16"/>
      <c r="M133" s="16"/>
      <c r="N133" s="16"/>
      <c r="O133" s="16" t="n">
        <v>1.5</v>
      </c>
      <c r="P133" s="17" t="str">
        <f aca="false">IF(AND(N133&lt;&gt;"",O133&lt;&gt;"",I133&lt;&gt;"",I133&lt;&gt;0),N133/(O133*9.81*I133),"")</f>
        <v/>
      </c>
      <c r="Q133" s="16"/>
      <c r="R133" s="18"/>
    </row>
    <row r="134" customFormat="false" ht="15" hidden="false" customHeight="false" outlineLevel="0" collapsed="false">
      <c r="A134" s="13" t="n">
        <v>130</v>
      </c>
      <c r="B134" s="13" t="n">
        <v>14</v>
      </c>
      <c r="C134" s="13" t="n">
        <v>3</v>
      </c>
      <c r="D134" s="13" t="n">
        <v>4</v>
      </c>
      <c r="E134" s="13" t="n">
        <v>0.5</v>
      </c>
      <c r="F134" s="13" t="s">
        <v>57</v>
      </c>
      <c r="G134" s="13" t="n">
        <v>2</v>
      </c>
      <c r="H134" s="13" t="n">
        <v>20</v>
      </c>
      <c r="I134" s="19"/>
      <c r="J134" s="19"/>
      <c r="K134" s="17" t="str">
        <f aca="false">IF(AND(I134&lt;&gt;"",J134&lt;&gt;"",J134&lt;&gt;0),I134/J134,"")</f>
        <v/>
      </c>
      <c r="L134" s="19"/>
      <c r="M134" s="19"/>
      <c r="N134" s="19"/>
      <c r="O134" s="19" t="n">
        <v>1.5</v>
      </c>
      <c r="P134" s="17" t="str">
        <f aca="false">IF(AND(N134&lt;&gt;"",O134&lt;&gt;"",I134&lt;&gt;"",I134&lt;&gt;0),N134/(O134*9.81*I134),"")</f>
        <v/>
      </c>
      <c r="Q134" s="19"/>
      <c r="R134" s="20"/>
    </row>
    <row r="135" customFormat="false" ht="15" hidden="false" customHeight="false" outlineLevel="0" collapsed="false">
      <c r="A135" s="11" t="n">
        <v>131</v>
      </c>
      <c r="B135" s="11" t="n">
        <v>333</v>
      </c>
      <c r="C135" s="11" t="n">
        <v>67</v>
      </c>
      <c r="D135" s="11" t="n">
        <v>3</v>
      </c>
      <c r="E135" s="11" t="n">
        <v>1.5</v>
      </c>
      <c r="F135" s="11" t="s">
        <v>59</v>
      </c>
      <c r="G135" s="11" t="n">
        <v>5</v>
      </c>
      <c r="H135" s="11" t="n">
        <v>0</v>
      </c>
      <c r="I135" s="16"/>
      <c r="J135" s="16"/>
      <c r="K135" s="17" t="str">
        <f aca="false">IF(AND(I135&lt;&gt;"",J135&lt;&gt;"",J135&lt;&gt;0),I135/J135,"")</f>
        <v/>
      </c>
      <c r="L135" s="16"/>
      <c r="M135" s="16"/>
      <c r="N135" s="16"/>
      <c r="O135" s="16" t="n">
        <v>1.5</v>
      </c>
      <c r="P135" s="17" t="str">
        <f aca="false">IF(AND(N135&lt;&gt;"",O135&lt;&gt;"",I135&lt;&gt;"",I135&lt;&gt;0),N135/(O135*9.81*I135),"")</f>
        <v/>
      </c>
      <c r="Q135" s="16"/>
      <c r="R135" s="18"/>
    </row>
    <row r="136" customFormat="false" ht="15" hidden="false" customHeight="false" outlineLevel="0" collapsed="false">
      <c r="A136" s="13" t="n">
        <v>132</v>
      </c>
      <c r="B136" s="13" t="n">
        <v>450</v>
      </c>
      <c r="C136" s="13" t="n">
        <v>90</v>
      </c>
      <c r="D136" s="13" t="n">
        <v>5</v>
      </c>
      <c r="E136" s="13" t="n">
        <v>2</v>
      </c>
      <c r="F136" s="13" t="s">
        <v>57</v>
      </c>
      <c r="G136" s="13" t="n">
        <v>10</v>
      </c>
      <c r="H136" s="13" t="n">
        <v>20</v>
      </c>
      <c r="I136" s="19"/>
      <c r="J136" s="19"/>
      <c r="K136" s="17" t="str">
        <f aca="false">IF(AND(I136&lt;&gt;"",J136&lt;&gt;"",J136&lt;&gt;0),I136/J136,"")</f>
        <v/>
      </c>
      <c r="L136" s="19"/>
      <c r="M136" s="19"/>
      <c r="N136" s="19"/>
      <c r="O136" s="19" t="n">
        <v>1.5</v>
      </c>
      <c r="P136" s="17" t="str">
        <f aca="false">IF(AND(N136&lt;&gt;"",O136&lt;&gt;"",I136&lt;&gt;"",I136&lt;&gt;0),N136/(O136*9.81*I136),"")</f>
        <v/>
      </c>
      <c r="Q136" s="19"/>
      <c r="R136" s="20"/>
    </row>
    <row r="137" customFormat="false" ht="15" hidden="false" customHeight="false" outlineLevel="0" collapsed="false">
      <c r="A137" s="11" t="n">
        <v>133</v>
      </c>
      <c r="B137" s="11" t="n">
        <v>161</v>
      </c>
      <c r="C137" s="11" t="n">
        <v>33</v>
      </c>
      <c r="D137" s="11" t="n">
        <v>1</v>
      </c>
      <c r="E137" s="11" t="n">
        <v>1</v>
      </c>
      <c r="F137" s="11" t="s">
        <v>57</v>
      </c>
      <c r="G137" s="11" t="n">
        <v>5</v>
      </c>
      <c r="H137" s="11" t="n">
        <v>20</v>
      </c>
      <c r="I137" s="16"/>
      <c r="J137" s="16"/>
      <c r="K137" s="17" t="str">
        <f aca="false">IF(AND(I137&lt;&gt;"",J137&lt;&gt;"",J137&lt;&gt;0),I137/J137,"")</f>
        <v/>
      </c>
      <c r="L137" s="16"/>
      <c r="M137" s="16"/>
      <c r="N137" s="16"/>
      <c r="O137" s="16" t="n">
        <v>1.5</v>
      </c>
      <c r="P137" s="17" t="str">
        <f aca="false">IF(AND(N137&lt;&gt;"",O137&lt;&gt;"",I137&lt;&gt;"",I137&lt;&gt;0),N137/(O137*9.81*I137),"")</f>
        <v/>
      </c>
      <c r="Q137" s="16"/>
      <c r="R137" s="18"/>
    </row>
    <row r="138" customFormat="false" ht="15" hidden="false" customHeight="false" outlineLevel="0" collapsed="false">
      <c r="A138" s="13" t="n">
        <v>134</v>
      </c>
      <c r="B138" s="13" t="n">
        <v>536</v>
      </c>
      <c r="C138" s="13" t="n">
        <v>108</v>
      </c>
      <c r="D138" s="13" t="n">
        <v>1</v>
      </c>
      <c r="E138" s="13" t="n">
        <v>2</v>
      </c>
      <c r="F138" s="13" t="s">
        <v>61</v>
      </c>
      <c r="G138" s="13" t="n">
        <v>10</v>
      </c>
      <c r="H138" s="13" t="n">
        <v>20</v>
      </c>
      <c r="I138" s="19"/>
      <c r="J138" s="19"/>
      <c r="K138" s="17" t="str">
        <f aca="false">IF(AND(I138&lt;&gt;"",J138&lt;&gt;"",J138&lt;&gt;0),I138/J138,"")</f>
        <v/>
      </c>
      <c r="L138" s="19"/>
      <c r="M138" s="19"/>
      <c r="N138" s="19"/>
      <c r="O138" s="19" t="n">
        <v>1.5</v>
      </c>
      <c r="P138" s="17" t="str">
        <f aca="false">IF(AND(N138&lt;&gt;"",O138&lt;&gt;"",I138&lt;&gt;"",I138&lt;&gt;0),N138/(O138*9.81*I138),"")</f>
        <v/>
      </c>
      <c r="Q138" s="19"/>
      <c r="R138" s="20"/>
    </row>
    <row r="139" customFormat="false" ht="15" hidden="false" customHeight="false" outlineLevel="0" collapsed="false">
      <c r="A139" s="11" t="n">
        <v>135</v>
      </c>
      <c r="B139" s="11" t="n">
        <v>281</v>
      </c>
      <c r="C139" s="11" t="n">
        <v>57</v>
      </c>
      <c r="D139" s="11" t="n">
        <v>1</v>
      </c>
      <c r="E139" s="11" t="n">
        <v>1.5</v>
      </c>
      <c r="F139" s="11" t="s">
        <v>57</v>
      </c>
      <c r="G139" s="11" t="n">
        <v>2</v>
      </c>
      <c r="H139" s="11" t="n">
        <v>20</v>
      </c>
      <c r="I139" s="16"/>
      <c r="J139" s="16"/>
      <c r="K139" s="17" t="str">
        <f aca="false">IF(AND(I139&lt;&gt;"",J139&lt;&gt;"",J139&lt;&gt;0),I139/J139,"")</f>
        <v/>
      </c>
      <c r="L139" s="16"/>
      <c r="M139" s="16"/>
      <c r="N139" s="16"/>
      <c r="O139" s="16" t="n">
        <v>1.5</v>
      </c>
      <c r="P139" s="17" t="str">
        <f aca="false">IF(AND(N139&lt;&gt;"",O139&lt;&gt;"",I139&lt;&gt;"",I139&lt;&gt;0),N139/(O139*9.81*I139),"")</f>
        <v/>
      </c>
      <c r="Q139" s="16"/>
      <c r="R139" s="18"/>
    </row>
    <row r="140" customFormat="false" ht="15" hidden="false" customHeight="false" outlineLevel="0" collapsed="false">
      <c r="A140" s="13" t="n">
        <v>136</v>
      </c>
      <c r="B140" s="13" t="n">
        <v>453</v>
      </c>
      <c r="C140" s="13" t="n">
        <v>91</v>
      </c>
      <c r="D140" s="13" t="n">
        <v>3</v>
      </c>
      <c r="E140" s="13" t="n">
        <v>2</v>
      </c>
      <c r="F140" s="13" t="s">
        <v>59</v>
      </c>
      <c r="G140" s="13" t="n">
        <v>2</v>
      </c>
      <c r="H140" s="13" t="n">
        <v>0</v>
      </c>
      <c r="I140" s="19"/>
      <c r="J140" s="19"/>
      <c r="K140" s="17" t="str">
        <f aca="false">IF(AND(I140&lt;&gt;"",J140&lt;&gt;"",J140&lt;&gt;0),I140/J140,"")</f>
        <v/>
      </c>
      <c r="L140" s="19"/>
      <c r="M140" s="19"/>
      <c r="N140" s="19"/>
      <c r="O140" s="19" t="n">
        <v>1.5</v>
      </c>
      <c r="P140" s="17" t="str">
        <f aca="false">IF(AND(N140&lt;&gt;"",O140&lt;&gt;"",I140&lt;&gt;"",I140&lt;&gt;0),N140/(O140*9.81*I140),"")</f>
        <v/>
      </c>
      <c r="Q140" s="19"/>
      <c r="R140" s="20"/>
    </row>
    <row r="141" customFormat="false" ht="15" hidden="false" customHeight="false" outlineLevel="0" collapsed="false">
      <c r="A141" s="11" t="n">
        <v>137</v>
      </c>
      <c r="B141" s="11" t="n">
        <v>54</v>
      </c>
      <c r="C141" s="11" t="n">
        <v>11</v>
      </c>
      <c r="D141" s="11" t="n">
        <v>4</v>
      </c>
      <c r="E141" s="11" t="n">
        <v>0.5</v>
      </c>
      <c r="F141" s="11" t="s">
        <v>59</v>
      </c>
      <c r="G141" s="11" t="n">
        <v>2</v>
      </c>
      <c r="H141" s="11" t="n">
        <v>10</v>
      </c>
      <c r="I141" s="16"/>
      <c r="J141" s="16"/>
      <c r="K141" s="17" t="str">
        <f aca="false">IF(AND(I141&lt;&gt;"",J141&lt;&gt;"",J141&lt;&gt;0),I141/J141,"")</f>
        <v/>
      </c>
      <c r="L141" s="16"/>
      <c r="M141" s="16"/>
      <c r="N141" s="16"/>
      <c r="O141" s="16" t="n">
        <v>1.5</v>
      </c>
      <c r="P141" s="17" t="str">
        <f aca="false">IF(AND(N141&lt;&gt;"",O141&lt;&gt;"",I141&lt;&gt;"",I141&lt;&gt;0),N141/(O141*9.81*I141),"")</f>
        <v/>
      </c>
      <c r="Q141" s="16"/>
      <c r="R141" s="18"/>
    </row>
    <row r="142" customFormat="false" ht="15" hidden="false" customHeight="false" outlineLevel="0" collapsed="false">
      <c r="A142" s="13" t="n">
        <v>138</v>
      </c>
      <c r="B142" s="13" t="n">
        <v>154</v>
      </c>
      <c r="C142" s="13" t="n">
        <v>31</v>
      </c>
      <c r="D142" s="13" t="n">
        <v>4</v>
      </c>
      <c r="E142" s="13" t="n">
        <v>1</v>
      </c>
      <c r="F142" s="13" t="s">
        <v>57</v>
      </c>
      <c r="G142" s="13" t="n">
        <v>5</v>
      </c>
      <c r="H142" s="13" t="n">
        <v>0</v>
      </c>
      <c r="I142" s="19"/>
      <c r="J142" s="19"/>
      <c r="K142" s="17" t="str">
        <f aca="false">IF(AND(I142&lt;&gt;"",J142&lt;&gt;"",J142&lt;&gt;0),I142/J142,"")</f>
        <v/>
      </c>
      <c r="L142" s="19"/>
      <c r="M142" s="19"/>
      <c r="N142" s="19"/>
      <c r="O142" s="19" t="n">
        <v>1.5</v>
      </c>
      <c r="P142" s="17" t="str">
        <f aca="false">IF(AND(N142&lt;&gt;"",O142&lt;&gt;"",I142&lt;&gt;"",I142&lt;&gt;0),N142/(O142*9.81*I142),"")</f>
        <v/>
      </c>
      <c r="Q142" s="19"/>
      <c r="R142" s="20"/>
    </row>
    <row r="143" customFormat="false" ht="15" hidden="false" customHeight="false" outlineLevel="0" collapsed="false">
      <c r="A143" s="11" t="n">
        <v>139</v>
      </c>
      <c r="B143" s="11" t="n">
        <v>70</v>
      </c>
      <c r="C143" s="11" t="n">
        <v>14</v>
      </c>
      <c r="D143" s="11" t="n">
        <v>5</v>
      </c>
      <c r="E143" s="11" t="n">
        <v>0.5</v>
      </c>
      <c r="F143" s="11" t="s">
        <v>59</v>
      </c>
      <c r="G143" s="11" t="n">
        <v>5</v>
      </c>
      <c r="H143" s="11" t="n">
        <v>10</v>
      </c>
      <c r="I143" s="16"/>
      <c r="J143" s="16"/>
      <c r="K143" s="17" t="str">
        <f aca="false">IF(AND(I143&lt;&gt;"",J143&lt;&gt;"",J143&lt;&gt;0),I143/J143,"")</f>
        <v/>
      </c>
      <c r="L143" s="16"/>
      <c r="M143" s="16"/>
      <c r="N143" s="16"/>
      <c r="O143" s="16" t="n">
        <v>1.5</v>
      </c>
      <c r="P143" s="17" t="str">
        <f aca="false">IF(AND(N143&lt;&gt;"",O143&lt;&gt;"",I143&lt;&gt;"",I143&lt;&gt;0),N143/(O143*9.81*I143),"")</f>
        <v/>
      </c>
      <c r="Q143" s="16"/>
      <c r="R143" s="18"/>
    </row>
    <row r="144" customFormat="false" ht="15" hidden="false" customHeight="false" outlineLevel="0" collapsed="false">
      <c r="A144" s="13" t="n">
        <v>140</v>
      </c>
      <c r="B144" s="13" t="n">
        <v>318</v>
      </c>
      <c r="C144" s="13" t="n">
        <v>64</v>
      </c>
      <c r="D144" s="13" t="n">
        <v>3</v>
      </c>
      <c r="E144" s="13" t="n">
        <v>1.5</v>
      </c>
      <c r="F144" s="13" t="s">
        <v>59</v>
      </c>
      <c r="G144" s="13" t="n">
        <v>2</v>
      </c>
      <c r="H144" s="13" t="n">
        <v>0</v>
      </c>
      <c r="I144" s="19"/>
      <c r="J144" s="19"/>
      <c r="K144" s="17" t="str">
        <f aca="false">IF(AND(I144&lt;&gt;"",J144&lt;&gt;"",J144&lt;&gt;0),I144/J144,"")</f>
        <v/>
      </c>
      <c r="L144" s="19"/>
      <c r="M144" s="19"/>
      <c r="N144" s="19"/>
      <c r="O144" s="19" t="n">
        <v>1.5</v>
      </c>
      <c r="P144" s="17" t="str">
        <f aca="false">IF(AND(N144&lt;&gt;"",O144&lt;&gt;"",I144&lt;&gt;"",I144&lt;&gt;0),N144/(O144*9.81*I144),"")</f>
        <v/>
      </c>
      <c r="Q144" s="19"/>
      <c r="R144" s="20"/>
    </row>
    <row r="145" customFormat="false" ht="15" hidden="false" customHeight="false" outlineLevel="0" collapsed="false">
      <c r="A145" s="11" t="n">
        <v>141</v>
      </c>
      <c r="B145" s="11" t="n">
        <v>480</v>
      </c>
      <c r="C145" s="11" t="n">
        <v>96</v>
      </c>
      <c r="D145" s="11" t="n">
        <v>5</v>
      </c>
      <c r="E145" s="11" t="n">
        <v>2</v>
      </c>
      <c r="F145" s="11" t="s">
        <v>59</v>
      </c>
      <c r="G145" s="11" t="n">
        <v>5</v>
      </c>
      <c r="H145" s="11" t="n">
        <v>20</v>
      </c>
      <c r="I145" s="16"/>
      <c r="J145" s="16"/>
      <c r="K145" s="17" t="str">
        <f aca="false">IF(AND(I145&lt;&gt;"",J145&lt;&gt;"",J145&lt;&gt;0),I145/J145,"")</f>
        <v/>
      </c>
      <c r="L145" s="16"/>
      <c r="M145" s="16"/>
      <c r="N145" s="16"/>
      <c r="O145" s="16" t="n">
        <v>1.5</v>
      </c>
      <c r="P145" s="17" t="str">
        <f aca="false">IF(AND(N145&lt;&gt;"",O145&lt;&gt;"",I145&lt;&gt;"",I145&lt;&gt;0),N145/(O145*9.81*I145),"")</f>
        <v/>
      </c>
      <c r="Q145" s="16"/>
      <c r="R145" s="18"/>
    </row>
    <row r="146" customFormat="false" ht="15" hidden="false" customHeight="false" outlineLevel="0" collapsed="false">
      <c r="A146" s="13" t="n">
        <v>142</v>
      </c>
      <c r="B146" s="13" t="n">
        <v>341</v>
      </c>
      <c r="C146" s="13" t="n">
        <v>69</v>
      </c>
      <c r="D146" s="13" t="n">
        <v>1</v>
      </c>
      <c r="E146" s="13" t="n">
        <v>1.5</v>
      </c>
      <c r="F146" s="13" t="s">
        <v>59</v>
      </c>
      <c r="G146" s="13" t="n">
        <v>5</v>
      </c>
      <c r="H146" s="13" t="n">
        <v>20</v>
      </c>
      <c r="I146" s="19"/>
      <c r="J146" s="19"/>
      <c r="K146" s="17" t="str">
        <f aca="false">IF(AND(I146&lt;&gt;"",J146&lt;&gt;"",J146&lt;&gt;0),I146/J146,"")</f>
        <v/>
      </c>
      <c r="L146" s="19"/>
      <c r="M146" s="19"/>
      <c r="N146" s="19"/>
      <c r="O146" s="19" t="n">
        <v>1.5</v>
      </c>
      <c r="P146" s="17" t="str">
        <f aca="false">IF(AND(N146&lt;&gt;"",O146&lt;&gt;"",I146&lt;&gt;"",I146&lt;&gt;0),N146/(O146*9.81*I146),"")</f>
        <v/>
      </c>
      <c r="Q146" s="19"/>
      <c r="R146" s="20"/>
    </row>
    <row r="147" customFormat="false" ht="15" hidden="false" customHeight="false" outlineLevel="0" collapsed="false">
      <c r="A147" s="11" t="n">
        <v>143</v>
      </c>
      <c r="B147" s="11" t="n">
        <v>440</v>
      </c>
      <c r="C147" s="11" t="n">
        <v>88</v>
      </c>
      <c r="D147" s="11" t="n">
        <v>5</v>
      </c>
      <c r="E147" s="11" t="n">
        <v>2</v>
      </c>
      <c r="F147" s="11" t="s">
        <v>57</v>
      </c>
      <c r="G147" s="11" t="n">
        <v>10</v>
      </c>
      <c r="H147" s="11" t="n">
        <v>0</v>
      </c>
      <c r="I147" s="16"/>
      <c r="J147" s="16"/>
      <c r="K147" s="17" t="str">
        <f aca="false">IF(AND(I147&lt;&gt;"",J147&lt;&gt;"",J147&lt;&gt;0),I147/J147,"")</f>
        <v/>
      </c>
      <c r="L147" s="16"/>
      <c r="M147" s="16"/>
      <c r="N147" s="16"/>
      <c r="O147" s="16" t="n">
        <v>1.5</v>
      </c>
      <c r="P147" s="17" t="str">
        <f aca="false">IF(AND(N147&lt;&gt;"",O147&lt;&gt;"",I147&lt;&gt;"",I147&lt;&gt;0),N147/(O147*9.81*I147),"")</f>
        <v/>
      </c>
      <c r="Q147" s="16"/>
      <c r="R147" s="18"/>
    </row>
    <row r="148" customFormat="false" ht="15" hidden="false" customHeight="false" outlineLevel="0" collapsed="false">
      <c r="A148" s="13" t="n">
        <v>144</v>
      </c>
      <c r="B148" s="13" t="n">
        <v>408</v>
      </c>
      <c r="C148" s="13" t="n">
        <v>82</v>
      </c>
      <c r="D148" s="13" t="n">
        <v>3</v>
      </c>
      <c r="E148" s="13" t="n">
        <v>2</v>
      </c>
      <c r="F148" s="13" t="s">
        <v>57</v>
      </c>
      <c r="G148" s="13" t="n">
        <v>2</v>
      </c>
      <c r="H148" s="13" t="n">
        <v>0</v>
      </c>
      <c r="I148" s="19"/>
      <c r="J148" s="19"/>
      <c r="K148" s="17" t="str">
        <f aca="false">IF(AND(I148&lt;&gt;"",J148&lt;&gt;"",J148&lt;&gt;0),I148/J148,"")</f>
        <v/>
      </c>
      <c r="L148" s="19"/>
      <c r="M148" s="19"/>
      <c r="N148" s="19"/>
      <c r="O148" s="19" t="n">
        <v>1.5</v>
      </c>
      <c r="P148" s="17" t="str">
        <f aca="false">IF(AND(N148&lt;&gt;"",O148&lt;&gt;"",I148&lt;&gt;"",I148&lt;&gt;0),N148/(O148*9.81*I148),"")</f>
        <v/>
      </c>
      <c r="Q148" s="19"/>
      <c r="R148" s="20"/>
    </row>
    <row r="149" customFormat="false" ht="15" hidden="false" customHeight="false" outlineLevel="0" collapsed="false">
      <c r="A149" s="11" t="n">
        <v>145</v>
      </c>
      <c r="B149" s="11" t="n">
        <v>27</v>
      </c>
      <c r="C149" s="11" t="n">
        <v>6</v>
      </c>
      <c r="D149" s="11" t="n">
        <v>2</v>
      </c>
      <c r="E149" s="11" t="n">
        <v>0.5</v>
      </c>
      <c r="F149" s="11" t="s">
        <v>57</v>
      </c>
      <c r="G149" s="11" t="n">
        <v>5</v>
      </c>
      <c r="H149" s="11" t="n">
        <v>20</v>
      </c>
      <c r="I149" s="16"/>
      <c r="J149" s="16"/>
      <c r="K149" s="17" t="str">
        <f aca="false">IF(AND(I149&lt;&gt;"",J149&lt;&gt;"",J149&lt;&gt;0),I149/J149,"")</f>
        <v/>
      </c>
      <c r="L149" s="16"/>
      <c r="M149" s="16"/>
      <c r="N149" s="16"/>
      <c r="O149" s="16" t="n">
        <v>1.5</v>
      </c>
      <c r="P149" s="17" t="str">
        <f aca="false">IF(AND(N149&lt;&gt;"",O149&lt;&gt;"",I149&lt;&gt;"",I149&lt;&gt;0),N149/(O149*9.81*I149),"")</f>
        <v/>
      </c>
      <c r="Q149" s="16"/>
      <c r="R149" s="18"/>
    </row>
    <row r="150" customFormat="false" ht="15" hidden="false" customHeight="false" outlineLevel="0" collapsed="false">
      <c r="A150" s="13" t="n">
        <v>146</v>
      </c>
      <c r="B150" s="13" t="n">
        <v>200</v>
      </c>
      <c r="C150" s="13" t="n">
        <v>40</v>
      </c>
      <c r="D150" s="13" t="n">
        <v>5</v>
      </c>
      <c r="E150" s="13" t="n">
        <v>1</v>
      </c>
      <c r="F150" s="13" t="s">
        <v>59</v>
      </c>
      <c r="G150" s="13" t="n">
        <v>5</v>
      </c>
      <c r="H150" s="13" t="n">
        <v>0</v>
      </c>
      <c r="I150" s="19"/>
      <c r="J150" s="19"/>
      <c r="K150" s="17" t="str">
        <f aca="false">IF(AND(I150&lt;&gt;"",J150&lt;&gt;"",J150&lt;&gt;0),I150/J150,"")</f>
        <v/>
      </c>
      <c r="L150" s="19"/>
      <c r="M150" s="19"/>
      <c r="N150" s="19"/>
      <c r="O150" s="19" t="n">
        <v>1.5</v>
      </c>
      <c r="P150" s="17" t="str">
        <f aca="false">IF(AND(N150&lt;&gt;"",O150&lt;&gt;"",I150&lt;&gt;"",I150&lt;&gt;0),N150/(O150*9.81*I150),"")</f>
        <v/>
      </c>
      <c r="Q150" s="19"/>
      <c r="R150" s="20"/>
    </row>
    <row r="151" customFormat="false" ht="15" hidden="false" customHeight="false" outlineLevel="0" collapsed="false">
      <c r="A151" s="11" t="n">
        <v>147</v>
      </c>
      <c r="B151" s="11" t="n">
        <v>142</v>
      </c>
      <c r="C151" s="11" t="n">
        <v>29</v>
      </c>
      <c r="D151" s="11" t="n">
        <v>2</v>
      </c>
      <c r="E151" s="11" t="n">
        <v>1</v>
      </c>
      <c r="F151" s="11" t="s">
        <v>57</v>
      </c>
      <c r="G151" s="11" t="n">
        <v>2</v>
      </c>
      <c r="H151" s="11" t="n">
        <v>10</v>
      </c>
      <c r="I151" s="16"/>
      <c r="J151" s="16"/>
      <c r="K151" s="17" t="str">
        <f aca="false">IF(AND(I151&lt;&gt;"",J151&lt;&gt;"",J151&lt;&gt;0),I151/J151,"")</f>
        <v/>
      </c>
      <c r="L151" s="16"/>
      <c r="M151" s="16"/>
      <c r="N151" s="16"/>
      <c r="O151" s="16" t="n">
        <v>1.5</v>
      </c>
      <c r="P151" s="17" t="str">
        <f aca="false">IF(AND(N151&lt;&gt;"",O151&lt;&gt;"",I151&lt;&gt;"",I151&lt;&gt;0),N151/(O151*9.81*I151),"")</f>
        <v/>
      </c>
      <c r="Q151" s="16"/>
      <c r="R151" s="18"/>
    </row>
    <row r="152" customFormat="false" ht="15" hidden="false" customHeight="false" outlineLevel="0" collapsed="false">
      <c r="A152" s="13" t="n">
        <v>148</v>
      </c>
      <c r="B152" s="13" t="n">
        <v>231</v>
      </c>
      <c r="C152" s="13" t="n">
        <v>47</v>
      </c>
      <c r="D152" s="13" t="n">
        <v>1</v>
      </c>
      <c r="E152" s="13" t="n">
        <v>1</v>
      </c>
      <c r="F152" s="13" t="s">
        <v>61</v>
      </c>
      <c r="G152" s="13" t="n">
        <v>2</v>
      </c>
      <c r="H152" s="13" t="n">
        <v>10</v>
      </c>
      <c r="I152" s="19"/>
      <c r="J152" s="19"/>
      <c r="K152" s="17" t="str">
        <f aca="false">IF(AND(I152&lt;&gt;"",J152&lt;&gt;"",J152&lt;&gt;0),I152/J152,"")</f>
        <v/>
      </c>
      <c r="L152" s="19"/>
      <c r="M152" s="19"/>
      <c r="N152" s="19"/>
      <c r="O152" s="19" t="n">
        <v>1.5</v>
      </c>
      <c r="P152" s="17" t="str">
        <f aca="false">IF(AND(N152&lt;&gt;"",O152&lt;&gt;"",I152&lt;&gt;"",I152&lt;&gt;0),N152/(O152*9.81*I152),"")</f>
        <v/>
      </c>
      <c r="Q152" s="19"/>
      <c r="R152" s="20"/>
    </row>
    <row r="153" customFormat="false" ht="15" hidden="false" customHeight="false" outlineLevel="0" collapsed="false">
      <c r="A153" s="11" t="n">
        <v>149</v>
      </c>
      <c r="B153" s="11" t="n">
        <v>443</v>
      </c>
      <c r="C153" s="11" t="n">
        <v>89</v>
      </c>
      <c r="D153" s="11" t="n">
        <v>3</v>
      </c>
      <c r="E153" s="11" t="n">
        <v>2</v>
      </c>
      <c r="F153" s="11" t="s">
        <v>57</v>
      </c>
      <c r="G153" s="11" t="n">
        <v>10</v>
      </c>
      <c r="H153" s="11" t="n">
        <v>10</v>
      </c>
      <c r="I153" s="16"/>
      <c r="J153" s="16"/>
      <c r="K153" s="17" t="str">
        <f aca="false">IF(AND(I153&lt;&gt;"",J153&lt;&gt;"",J153&lt;&gt;0),I153/J153,"")</f>
        <v/>
      </c>
      <c r="L153" s="16"/>
      <c r="M153" s="16"/>
      <c r="N153" s="16"/>
      <c r="O153" s="16" t="n">
        <v>1.5</v>
      </c>
      <c r="P153" s="17" t="str">
        <f aca="false">IF(AND(N153&lt;&gt;"",O153&lt;&gt;"",I153&lt;&gt;"",I153&lt;&gt;0),N153/(O153*9.81*I153),"")</f>
        <v/>
      </c>
      <c r="Q153" s="16"/>
      <c r="R153" s="18"/>
    </row>
    <row r="154" customFormat="false" ht="15" hidden="false" customHeight="false" outlineLevel="0" collapsed="false">
      <c r="A154" s="13" t="n">
        <v>150</v>
      </c>
      <c r="B154" s="13" t="n">
        <v>78</v>
      </c>
      <c r="C154" s="13" t="n">
        <v>16</v>
      </c>
      <c r="D154" s="13" t="n">
        <v>3</v>
      </c>
      <c r="E154" s="13" t="n">
        <v>0.5</v>
      </c>
      <c r="F154" s="13" t="s">
        <v>59</v>
      </c>
      <c r="G154" s="13" t="n">
        <v>10</v>
      </c>
      <c r="H154" s="13" t="n">
        <v>0</v>
      </c>
      <c r="I154" s="19"/>
      <c r="J154" s="19"/>
      <c r="K154" s="17" t="str">
        <f aca="false">IF(AND(I154&lt;&gt;"",J154&lt;&gt;"",J154&lt;&gt;0),I154/J154,"")</f>
        <v/>
      </c>
      <c r="L154" s="19"/>
      <c r="M154" s="19"/>
      <c r="N154" s="19"/>
      <c r="O154" s="19" t="n">
        <v>1.5</v>
      </c>
      <c r="P154" s="17" t="str">
        <f aca="false">IF(AND(N154&lt;&gt;"",O154&lt;&gt;"",I154&lt;&gt;"",I154&lt;&gt;0),N154/(O154*9.81*I154),"")</f>
        <v/>
      </c>
      <c r="Q154" s="19"/>
      <c r="R154" s="20"/>
    </row>
    <row r="155" customFormat="false" ht="15" hidden="false" customHeight="false" outlineLevel="0" collapsed="false">
      <c r="A155" s="11" t="n">
        <v>151</v>
      </c>
      <c r="B155" s="11" t="n">
        <v>140</v>
      </c>
      <c r="C155" s="11" t="n">
        <v>28</v>
      </c>
      <c r="D155" s="11" t="n">
        <v>5</v>
      </c>
      <c r="E155" s="11" t="n">
        <v>1</v>
      </c>
      <c r="F155" s="11" t="s">
        <v>57</v>
      </c>
      <c r="G155" s="11" t="n">
        <v>2</v>
      </c>
      <c r="H155" s="11" t="n">
        <v>0</v>
      </c>
      <c r="I155" s="16"/>
      <c r="J155" s="16"/>
      <c r="K155" s="17" t="str">
        <f aca="false">IF(AND(I155&lt;&gt;"",J155&lt;&gt;"",J155&lt;&gt;0),I155/J155,"")</f>
        <v/>
      </c>
      <c r="L155" s="16"/>
      <c r="M155" s="16"/>
      <c r="N155" s="16"/>
      <c r="O155" s="16" t="n">
        <v>1.5</v>
      </c>
      <c r="P155" s="17" t="str">
        <f aca="false">IF(AND(N155&lt;&gt;"",O155&lt;&gt;"",I155&lt;&gt;"",I155&lt;&gt;0),N155/(O155*9.81*I155),"")</f>
        <v/>
      </c>
      <c r="Q155" s="16"/>
      <c r="R155" s="18"/>
    </row>
    <row r="156" customFormat="false" ht="15" hidden="false" customHeight="false" outlineLevel="0" collapsed="false">
      <c r="A156" s="13" t="n">
        <v>152</v>
      </c>
      <c r="B156" s="13" t="n">
        <v>305</v>
      </c>
      <c r="C156" s="13" t="n">
        <v>61</v>
      </c>
      <c r="D156" s="13" t="n">
        <v>5</v>
      </c>
      <c r="E156" s="13" t="n">
        <v>1.5</v>
      </c>
      <c r="F156" s="13" t="s">
        <v>57</v>
      </c>
      <c r="G156" s="13" t="n">
        <v>10</v>
      </c>
      <c r="H156" s="13" t="n">
        <v>0</v>
      </c>
      <c r="I156" s="19"/>
      <c r="J156" s="19"/>
      <c r="K156" s="17" t="str">
        <f aca="false">IF(AND(I156&lt;&gt;"",J156&lt;&gt;"",J156&lt;&gt;0),I156/J156,"")</f>
        <v/>
      </c>
      <c r="L156" s="19"/>
      <c r="M156" s="19"/>
      <c r="N156" s="19"/>
      <c r="O156" s="19" t="n">
        <v>1.5</v>
      </c>
      <c r="P156" s="17" t="str">
        <f aca="false">IF(AND(N156&lt;&gt;"",O156&lt;&gt;"",I156&lt;&gt;"",I156&lt;&gt;0),N156/(O156*9.81*I156),"")</f>
        <v/>
      </c>
      <c r="Q156" s="19"/>
      <c r="R156" s="20"/>
    </row>
    <row r="157" customFormat="false" ht="15" hidden="false" customHeight="false" outlineLevel="0" collapsed="false">
      <c r="A157" s="11" t="n">
        <v>153</v>
      </c>
      <c r="B157" s="11" t="n">
        <v>208</v>
      </c>
      <c r="C157" s="11" t="n">
        <v>42</v>
      </c>
      <c r="D157" s="11" t="n">
        <v>3</v>
      </c>
      <c r="E157" s="11" t="n">
        <v>1</v>
      </c>
      <c r="F157" s="11" t="s">
        <v>59</v>
      </c>
      <c r="G157" s="11" t="n">
        <v>5</v>
      </c>
      <c r="H157" s="11" t="n">
        <v>20</v>
      </c>
      <c r="I157" s="16"/>
      <c r="J157" s="16"/>
      <c r="K157" s="17" t="str">
        <f aca="false">IF(AND(I157&lt;&gt;"",J157&lt;&gt;"",J157&lt;&gt;0),I157/J157,"")</f>
        <v/>
      </c>
      <c r="L157" s="16"/>
      <c r="M157" s="16"/>
      <c r="N157" s="16"/>
      <c r="O157" s="16" t="n">
        <v>1.5</v>
      </c>
      <c r="P157" s="17" t="str">
        <f aca="false">IF(AND(N157&lt;&gt;"",O157&lt;&gt;"",I157&lt;&gt;"",I157&lt;&gt;0),N157/(O157*9.81*I157),"")</f>
        <v/>
      </c>
      <c r="Q157" s="16"/>
      <c r="R157" s="18"/>
    </row>
    <row r="158" customFormat="false" ht="15" hidden="false" customHeight="false" outlineLevel="0" collapsed="false">
      <c r="A158" s="13" t="n">
        <v>154</v>
      </c>
      <c r="B158" s="13" t="n">
        <v>73</v>
      </c>
      <c r="C158" s="13" t="n">
        <v>15</v>
      </c>
      <c r="D158" s="13" t="n">
        <v>3</v>
      </c>
      <c r="E158" s="13" t="n">
        <v>0.5</v>
      </c>
      <c r="F158" s="13" t="s">
        <v>59</v>
      </c>
      <c r="G158" s="13" t="n">
        <v>5</v>
      </c>
      <c r="H158" s="13" t="n">
        <v>20</v>
      </c>
      <c r="I158" s="19"/>
      <c r="J158" s="19"/>
      <c r="K158" s="17" t="str">
        <f aca="false">IF(AND(I158&lt;&gt;"",J158&lt;&gt;"",J158&lt;&gt;0),I158/J158,"")</f>
        <v/>
      </c>
      <c r="L158" s="19"/>
      <c r="M158" s="19"/>
      <c r="N158" s="19"/>
      <c r="O158" s="19" t="n">
        <v>1.5</v>
      </c>
      <c r="P158" s="17" t="str">
        <f aca="false">IF(AND(N158&lt;&gt;"",O158&lt;&gt;"",I158&lt;&gt;"",I158&lt;&gt;0),N158/(O158*9.81*I158),"")</f>
        <v/>
      </c>
      <c r="Q158" s="19"/>
      <c r="R158" s="20"/>
    </row>
    <row r="159" customFormat="false" ht="15" hidden="false" customHeight="false" outlineLevel="0" collapsed="false">
      <c r="A159" s="11" t="n">
        <v>155</v>
      </c>
      <c r="B159" s="11" t="n">
        <v>95</v>
      </c>
      <c r="C159" s="11" t="n">
        <v>19</v>
      </c>
      <c r="D159" s="11" t="n">
        <v>5</v>
      </c>
      <c r="E159" s="11" t="n">
        <v>0.5</v>
      </c>
      <c r="F159" s="11" t="s">
        <v>61</v>
      </c>
      <c r="G159" s="11" t="n">
        <v>2</v>
      </c>
      <c r="H159" s="11" t="n">
        <v>0</v>
      </c>
      <c r="I159" s="16"/>
      <c r="J159" s="16"/>
      <c r="K159" s="17" t="str">
        <f aca="false">IF(AND(I159&lt;&gt;"",J159&lt;&gt;"",J159&lt;&gt;0),I159/J159,"")</f>
        <v/>
      </c>
      <c r="L159" s="16"/>
      <c r="M159" s="16"/>
      <c r="N159" s="16"/>
      <c r="O159" s="16" t="n">
        <v>1.5</v>
      </c>
      <c r="P159" s="17" t="str">
        <f aca="false">IF(AND(N159&lt;&gt;"",O159&lt;&gt;"",I159&lt;&gt;"",I159&lt;&gt;0),N159/(O159*9.81*I159),"")</f>
        <v/>
      </c>
      <c r="Q159" s="16"/>
      <c r="R159" s="18"/>
    </row>
    <row r="160" customFormat="false" ht="15" hidden="false" customHeight="false" outlineLevel="0" collapsed="false">
      <c r="A160" s="13" t="n">
        <v>156</v>
      </c>
      <c r="B160" s="13" t="n">
        <v>63</v>
      </c>
      <c r="C160" s="13" t="n">
        <v>13</v>
      </c>
      <c r="D160" s="13" t="n">
        <v>3</v>
      </c>
      <c r="E160" s="13" t="n">
        <v>0.5</v>
      </c>
      <c r="F160" s="13" t="s">
        <v>59</v>
      </c>
      <c r="G160" s="13" t="n">
        <v>5</v>
      </c>
      <c r="H160" s="13" t="n">
        <v>0</v>
      </c>
      <c r="I160" s="19"/>
      <c r="J160" s="19"/>
      <c r="K160" s="17" t="str">
        <f aca="false">IF(AND(I160&lt;&gt;"",J160&lt;&gt;"",J160&lt;&gt;0),I160/J160,"")</f>
        <v/>
      </c>
      <c r="L160" s="19"/>
      <c r="M160" s="19"/>
      <c r="N160" s="19"/>
      <c r="O160" s="19" t="n">
        <v>1.5</v>
      </c>
      <c r="P160" s="17" t="str">
        <f aca="false">IF(AND(N160&lt;&gt;"",O160&lt;&gt;"",I160&lt;&gt;"",I160&lt;&gt;0),N160/(O160*9.81*I160),"")</f>
        <v/>
      </c>
      <c r="Q160" s="19"/>
      <c r="R160" s="20"/>
    </row>
    <row r="161" customFormat="false" ht="15" hidden="false" customHeight="false" outlineLevel="0" collapsed="false">
      <c r="A161" s="11" t="n">
        <v>157</v>
      </c>
      <c r="B161" s="11" t="n">
        <v>268</v>
      </c>
      <c r="C161" s="11" t="n">
        <v>54</v>
      </c>
      <c r="D161" s="11" t="n">
        <v>3</v>
      </c>
      <c r="E161" s="11" t="n">
        <v>1</v>
      </c>
      <c r="F161" s="11" t="s">
        <v>61</v>
      </c>
      <c r="G161" s="11" t="n">
        <v>10</v>
      </c>
      <c r="H161" s="11" t="n">
        <v>20</v>
      </c>
      <c r="I161" s="16"/>
      <c r="J161" s="16"/>
      <c r="K161" s="17" t="str">
        <f aca="false">IF(AND(I161&lt;&gt;"",J161&lt;&gt;"",J161&lt;&gt;0),I161/J161,"")</f>
        <v/>
      </c>
      <c r="L161" s="16"/>
      <c r="M161" s="16"/>
      <c r="N161" s="16"/>
      <c r="O161" s="16" t="n">
        <v>1.5</v>
      </c>
      <c r="P161" s="17" t="str">
        <f aca="false">IF(AND(N161&lt;&gt;"",O161&lt;&gt;"",I161&lt;&gt;"",I161&lt;&gt;0),N161/(O161*9.81*I161),"")</f>
        <v/>
      </c>
      <c r="Q161" s="16"/>
      <c r="R161" s="18"/>
    </row>
    <row r="162" customFormat="false" ht="15" hidden="false" customHeight="false" outlineLevel="0" collapsed="false">
      <c r="A162" s="13" t="n">
        <v>158</v>
      </c>
      <c r="B162" s="13" t="n">
        <v>533</v>
      </c>
      <c r="C162" s="13" t="n">
        <v>107</v>
      </c>
      <c r="D162" s="13" t="n">
        <v>3</v>
      </c>
      <c r="E162" s="13" t="n">
        <v>2</v>
      </c>
      <c r="F162" s="13" t="s">
        <v>61</v>
      </c>
      <c r="G162" s="13" t="n">
        <v>10</v>
      </c>
      <c r="H162" s="13" t="n">
        <v>10</v>
      </c>
      <c r="I162" s="19"/>
      <c r="J162" s="19"/>
      <c r="K162" s="17" t="str">
        <f aca="false">IF(AND(I162&lt;&gt;"",J162&lt;&gt;"",J162&lt;&gt;0),I162/J162,"")</f>
        <v/>
      </c>
      <c r="L162" s="19"/>
      <c r="M162" s="19"/>
      <c r="N162" s="19"/>
      <c r="O162" s="19" t="n">
        <v>1.5</v>
      </c>
      <c r="P162" s="17" t="str">
        <f aca="false">IF(AND(N162&lt;&gt;"",O162&lt;&gt;"",I162&lt;&gt;"",I162&lt;&gt;0),N162/(O162*9.81*I162),"")</f>
        <v/>
      </c>
      <c r="Q162" s="19"/>
      <c r="R162" s="20"/>
    </row>
    <row r="163" customFormat="false" ht="15" hidden="false" customHeight="false" outlineLevel="0" collapsed="false">
      <c r="A163" s="11" t="n">
        <v>159</v>
      </c>
      <c r="B163" s="11" t="n">
        <v>176</v>
      </c>
      <c r="C163" s="11" t="n">
        <v>36</v>
      </c>
      <c r="D163" s="11" t="n">
        <v>1</v>
      </c>
      <c r="E163" s="11" t="n">
        <v>1</v>
      </c>
      <c r="F163" s="11" t="s">
        <v>57</v>
      </c>
      <c r="G163" s="11" t="n">
        <v>10</v>
      </c>
      <c r="H163" s="11" t="n">
        <v>20</v>
      </c>
      <c r="I163" s="16"/>
      <c r="J163" s="16"/>
      <c r="K163" s="17" t="str">
        <f aca="false">IF(AND(I163&lt;&gt;"",J163&lt;&gt;"",J163&lt;&gt;0),I163/J163,"")</f>
        <v/>
      </c>
      <c r="L163" s="16"/>
      <c r="M163" s="16"/>
      <c r="N163" s="16"/>
      <c r="O163" s="16" t="n">
        <v>1.5</v>
      </c>
      <c r="P163" s="17" t="str">
        <f aca="false">IF(AND(N163&lt;&gt;"",O163&lt;&gt;"",I163&lt;&gt;"",I163&lt;&gt;0),N163/(O163*9.81*I163),"")</f>
        <v/>
      </c>
      <c r="Q163" s="16"/>
      <c r="R163" s="18"/>
    </row>
    <row r="164" customFormat="false" ht="15" hidden="false" customHeight="false" outlineLevel="0" collapsed="false">
      <c r="A164" s="13" t="n">
        <v>160</v>
      </c>
      <c r="B164" s="13" t="n">
        <v>178</v>
      </c>
      <c r="C164" s="13" t="n">
        <v>36</v>
      </c>
      <c r="D164" s="13" t="n">
        <v>3</v>
      </c>
      <c r="E164" s="13" t="n">
        <v>1</v>
      </c>
      <c r="F164" s="13" t="s">
        <v>57</v>
      </c>
      <c r="G164" s="13" t="n">
        <v>10</v>
      </c>
      <c r="H164" s="13" t="n">
        <v>20</v>
      </c>
      <c r="I164" s="19"/>
      <c r="J164" s="19"/>
      <c r="K164" s="17" t="str">
        <f aca="false">IF(AND(I164&lt;&gt;"",J164&lt;&gt;"",J164&lt;&gt;0),I164/J164,"")</f>
        <v/>
      </c>
      <c r="L164" s="19"/>
      <c r="M164" s="19"/>
      <c r="N164" s="19"/>
      <c r="O164" s="19" t="n">
        <v>1.5</v>
      </c>
      <c r="P164" s="17" t="str">
        <f aca="false">IF(AND(N164&lt;&gt;"",O164&lt;&gt;"",I164&lt;&gt;"",I164&lt;&gt;0),N164/(O164*9.81*I164),"")</f>
        <v/>
      </c>
      <c r="Q164" s="19"/>
      <c r="R164" s="20"/>
    </row>
    <row r="165" customFormat="false" ht="15" hidden="false" customHeight="false" outlineLevel="0" collapsed="false">
      <c r="A165" s="11" t="n">
        <v>161</v>
      </c>
      <c r="B165" s="11" t="n">
        <v>130</v>
      </c>
      <c r="C165" s="11" t="n">
        <v>26</v>
      </c>
      <c r="D165" s="11" t="n">
        <v>5</v>
      </c>
      <c r="E165" s="11" t="n">
        <v>0.5</v>
      </c>
      <c r="F165" s="11" t="s">
        <v>61</v>
      </c>
      <c r="G165" s="11" t="n">
        <v>10</v>
      </c>
      <c r="H165" s="11" t="n">
        <v>10</v>
      </c>
      <c r="I165" s="16"/>
      <c r="J165" s="16"/>
      <c r="K165" s="17" t="str">
        <f aca="false">IF(AND(I165&lt;&gt;"",J165&lt;&gt;"",J165&lt;&gt;0),I165/J165,"")</f>
        <v/>
      </c>
      <c r="L165" s="16"/>
      <c r="M165" s="16"/>
      <c r="N165" s="16"/>
      <c r="O165" s="16" t="n">
        <v>1.5</v>
      </c>
      <c r="P165" s="17" t="str">
        <f aca="false">IF(AND(N165&lt;&gt;"",O165&lt;&gt;"",I165&lt;&gt;"",I165&lt;&gt;0),N165/(O165*9.81*I165),"")</f>
        <v/>
      </c>
      <c r="Q165" s="16"/>
      <c r="R165" s="18"/>
    </row>
    <row r="166" customFormat="false" ht="15" hidden="false" customHeight="false" outlineLevel="0" collapsed="false">
      <c r="A166" s="13" t="n">
        <v>162</v>
      </c>
      <c r="B166" s="13" t="n">
        <v>247</v>
      </c>
      <c r="C166" s="13" t="n">
        <v>50</v>
      </c>
      <c r="D166" s="13" t="n">
        <v>2</v>
      </c>
      <c r="E166" s="13" t="n">
        <v>1</v>
      </c>
      <c r="F166" s="13" t="s">
        <v>61</v>
      </c>
      <c r="G166" s="13" t="n">
        <v>5</v>
      </c>
      <c r="H166" s="13" t="n">
        <v>10</v>
      </c>
      <c r="I166" s="19"/>
      <c r="J166" s="19"/>
      <c r="K166" s="17" t="str">
        <f aca="false">IF(AND(I166&lt;&gt;"",J166&lt;&gt;"",J166&lt;&gt;0),I166/J166,"")</f>
        <v/>
      </c>
      <c r="L166" s="19"/>
      <c r="M166" s="19"/>
      <c r="N166" s="19"/>
      <c r="O166" s="19" t="n">
        <v>1.5</v>
      </c>
      <c r="P166" s="17" t="str">
        <f aca="false">IF(AND(N166&lt;&gt;"",O166&lt;&gt;"",I166&lt;&gt;"",I166&lt;&gt;0),N166/(O166*9.81*I166),"")</f>
        <v/>
      </c>
      <c r="Q166" s="19"/>
      <c r="R166" s="20"/>
    </row>
    <row r="167" customFormat="false" ht="15" hidden="false" customHeight="false" outlineLevel="0" collapsed="false">
      <c r="A167" s="11" t="n">
        <v>163</v>
      </c>
      <c r="B167" s="11" t="n">
        <v>429</v>
      </c>
      <c r="C167" s="11" t="n">
        <v>86</v>
      </c>
      <c r="D167" s="11" t="n">
        <v>4</v>
      </c>
      <c r="E167" s="11" t="n">
        <v>2</v>
      </c>
      <c r="F167" s="11" t="s">
        <v>57</v>
      </c>
      <c r="G167" s="11" t="n">
        <v>5</v>
      </c>
      <c r="H167" s="11" t="n">
        <v>10</v>
      </c>
      <c r="I167" s="16"/>
      <c r="J167" s="16"/>
      <c r="K167" s="17" t="str">
        <f aca="false">IF(AND(I167&lt;&gt;"",J167&lt;&gt;"",J167&lt;&gt;0),I167/J167,"")</f>
        <v/>
      </c>
      <c r="L167" s="16"/>
      <c r="M167" s="16"/>
      <c r="N167" s="16"/>
      <c r="O167" s="16" t="n">
        <v>1.5</v>
      </c>
      <c r="P167" s="17" t="str">
        <f aca="false">IF(AND(N167&lt;&gt;"",O167&lt;&gt;"",I167&lt;&gt;"",I167&lt;&gt;0),N167/(O167*9.81*I167),"")</f>
        <v/>
      </c>
      <c r="Q167" s="16"/>
      <c r="R167" s="18"/>
    </row>
    <row r="168" customFormat="false" ht="15" hidden="false" customHeight="false" outlineLevel="0" collapsed="false">
      <c r="A168" s="13" t="n">
        <v>164</v>
      </c>
      <c r="B168" s="13" t="n">
        <v>228</v>
      </c>
      <c r="C168" s="13" t="n">
        <v>46</v>
      </c>
      <c r="D168" s="13" t="n">
        <v>3</v>
      </c>
      <c r="E168" s="13" t="n">
        <v>1</v>
      </c>
      <c r="F168" s="13" t="s">
        <v>61</v>
      </c>
      <c r="G168" s="13" t="n">
        <v>2</v>
      </c>
      <c r="H168" s="13" t="n">
        <v>0</v>
      </c>
      <c r="I168" s="19"/>
      <c r="J168" s="19"/>
      <c r="K168" s="17" t="str">
        <f aca="false">IF(AND(I168&lt;&gt;"",J168&lt;&gt;"",J168&lt;&gt;0),I168/J168,"")</f>
        <v/>
      </c>
      <c r="L168" s="19"/>
      <c r="M168" s="19"/>
      <c r="N168" s="19"/>
      <c r="O168" s="19" t="n">
        <v>1.5</v>
      </c>
      <c r="P168" s="17" t="str">
        <f aca="false">IF(AND(N168&lt;&gt;"",O168&lt;&gt;"",I168&lt;&gt;"",I168&lt;&gt;0),N168/(O168*9.81*I168),"")</f>
        <v/>
      </c>
      <c r="Q168" s="19"/>
      <c r="R168" s="20"/>
    </row>
    <row r="169" customFormat="false" ht="15" hidden="false" customHeight="false" outlineLevel="0" collapsed="false">
      <c r="A169" s="11" t="n">
        <v>165</v>
      </c>
      <c r="B169" s="11" t="n">
        <v>258</v>
      </c>
      <c r="C169" s="11" t="n">
        <v>52</v>
      </c>
      <c r="D169" s="11" t="n">
        <v>3</v>
      </c>
      <c r="E169" s="11" t="n">
        <v>1</v>
      </c>
      <c r="F169" s="11" t="s">
        <v>61</v>
      </c>
      <c r="G169" s="11" t="n">
        <v>10</v>
      </c>
      <c r="H169" s="11" t="n">
        <v>0</v>
      </c>
      <c r="I169" s="16"/>
      <c r="J169" s="16"/>
      <c r="K169" s="17" t="str">
        <f aca="false">IF(AND(I169&lt;&gt;"",J169&lt;&gt;"",J169&lt;&gt;0),I169/J169,"")</f>
        <v/>
      </c>
      <c r="L169" s="16"/>
      <c r="M169" s="16"/>
      <c r="N169" s="16"/>
      <c r="O169" s="16" t="n">
        <v>1.5</v>
      </c>
      <c r="P169" s="17" t="str">
        <f aca="false">IF(AND(N169&lt;&gt;"",O169&lt;&gt;"",I169&lt;&gt;"",I169&lt;&gt;0),N169/(O169*9.81*I169),"")</f>
        <v/>
      </c>
      <c r="Q169" s="16"/>
      <c r="R169" s="18"/>
    </row>
    <row r="170" customFormat="false" ht="15" hidden="false" customHeight="false" outlineLevel="0" collapsed="false">
      <c r="A170" s="13" t="n">
        <v>166</v>
      </c>
      <c r="B170" s="13" t="n">
        <v>461</v>
      </c>
      <c r="C170" s="13" t="n">
        <v>93</v>
      </c>
      <c r="D170" s="13" t="n">
        <v>1</v>
      </c>
      <c r="E170" s="13" t="n">
        <v>2</v>
      </c>
      <c r="F170" s="13" t="s">
        <v>59</v>
      </c>
      <c r="G170" s="13" t="n">
        <v>2</v>
      </c>
      <c r="H170" s="13" t="n">
        <v>20</v>
      </c>
      <c r="I170" s="19"/>
      <c r="J170" s="19"/>
      <c r="K170" s="17" t="str">
        <f aca="false">IF(AND(I170&lt;&gt;"",J170&lt;&gt;"",J170&lt;&gt;0),I170/J170,"")</f>
        <v/>
      </c>
      <c r="L170" s="19"/>
      <c r="M170" s="19"/>
      <c r="N170" s="19"/>
      <c r="O170" s="19" t="n">
        <v>1.5</v>
      </c>
      <c r="P170" s="17" t="str">
        <f aca="false">IF(AND(N170&lt;&gt;"",O170&lt;&gt;"",I170&lt;&gt;"",I170&lt;&gt;0),N170/(O170*9.81*I170),"")</f>
        <v/>
      </c>
      <c r="Q170" s="19"/>
      <c r="R170" s="20"/>
    </row>
    <row r="171" customFormat="false" ht="15" hidden="false" customHeight="false" outlineLevel="0" collapsed="false">
      <c r="A171" s="11" t="n">
        <v>167</v>
      </c>
      <c r="B171" s="11" t="n">
        <v>483</v>
      </c>
      <c r="C171" s="11" t="n">
        <v>97</v>
      </c>
      <c r="D171" s="11" t="n">
        <v>3</v>
      </c>
      <c r="E171" s="11" t="n">
        <v>2</v>
      </c>
      <c r="F171" s="11" t="s">
        <v>59</v>
      </c>
      <c r="G171" s="11" t="n">
        <v>10</v>
      </c>
      <c r="H171" s="11" t="n">
        <v>0</v>
      </c>
      <c r="I171" s="16"/>
      <c r="J171" s="16"/>
      <c r="K171" s="17" t="str">
        <f aca="false">IF(AND(I171&lt;&gt;"",J171&lt;&gt;"",J171&lt;&gt;0),I171/J171,"")</f>
        <v/>
      </c>
      <c r="L171" s="16"/>
      <c r="M171" s="16"/>
      <c r="N171" s="16"/>
      <c r="O171" s="16" t="n">
        <v>1.5</v>
      </c>
      <c r="P171" s="17" t="str">
        <f aca="false">IF(AND(N171&lt;&gt;"",O171&lt;&gt;"",I171&lt;&gt;"",I171&lt;&gt;0),N171/(O171*9.81*I171),"")</f>
        <v/>
      </c>
      <c r="Q171" s="16"/>
      <c r="R171" s="18"/>
    </row>
    <row r="172" customFormat="false" ht="15" hidden="false" customHeight="false" outlineLevel="0" collapsed="false">
      <c r="A172" s="13" t="n">
        <v>168</v>
      </c>
      <c r="B172" s="13" t="n">
        <v>373</v>
      </c>
      <c r="C172" s="13" t="n">
        <v>75</v>
      </c>
      <c r="D172" s="13" t="n">
        <v>3</v>
      </c>
      <c r="E172" s="13" t="n">
        <v>1.5</v>
      </c>
      <c r="F172" s="13" t="s">
        <v>61</v>
      </c>
      <c r="G172" s="13" t="n">
        <v>2</v>
      </c>
      <c r="H172" s="13" t="n">
        <v>20</v>
      </c>
      <c r="I172" s="19"/>
      <c r="J172" s="19"/>
      <c r="K172" s="17" t="str">
        <f aca="false">IF(AND(I172&lt;&gt;"",J172&lt;&gt;"",J172&lt;&gt;0),I172/J172,"")</f>
        <v/>
      </c>
      <c r="L172" s="19"/>
      <c r="M172" s="19"/>
      <c r="N172" s="19"/>
      <c r="O172" s="19" t="n">
        <v>1.5</v>
      </c>
      <c r="P172" s="17" t="str">
        <f aca="false">IF(AND(N172&lt;&gt;"",O172&lt;&gt;"",I172&lt;&gt;"",I172&lt;&gt;0),N172/(O172*9.81*I172),"")</f>
        <v/>
      </c>
      <c r="Q172" s="19"/>
      <c r="R172" s="20"/>
    </row>
    <row r="173" customFormat="false" ht="15" hidden="false" customHeight="false" outlineLevel="0" collapsed="false">
      <c r="A173" s="11" t="n">
        <v>169</v>
      </c>
      <c r="B173" s="11" t="n">
        <v>3</v>
      </c>
      <c r="C173" s="11" t="n">
        <v>1</v>
      </c>
      <c r="D173" s="11" t="n">
        <v>3</v>
      </c>
      <c r="E173" s="11" t="n">
        <v>0.5</v>
      </c>
      <c r="F173" s="11" t="s">
        <v>57</v>
      </c>
      <c r="G173" s="11" t="n">
        <v>2</v>
      </c>
      <c r="H173" s="11" t="n">
        <v>0</v>
      </c>
      <c r="I173" s="16"/>
      <c r="J173" s="16"/>
      <c r="K173" s="17" t="str">
        <f aca="false">IF(AND(I173&lt;&gt;"",J173&lt;&gt;"",J173&lt;&gt;0),I173/J173,"")</f>
        <v/>
      </c>
      <c r="L173" s="16"/>
      <c r="M173" s="16"/>
      <c r="N173" s="16"/>
      <c r="O173" s="16" t="n">
        <v>1.5</v>
      </c>
      <c r="P173" s="17" t="str">
        <f aca="false">IF(AND(N173&lt;&gt;"",O173&lt;&gt;"",I173&lt;&gt;"",I173&lt;&gt;0),N173/(O173*9.81*I173),"")</f>
        <v/>
      </c>
      <c r="Q173" s="16"/>
      <c r="R173" s="18"/>
    </row>
    <row r="174" customFormat="false" ht="15" hidden="false" customHeight="false" outlineLevel="0" collapsed="false">
      <c r="A174" s="13" t="n">
        <v>170</v>
      </c>
      <c r="B174" s="13" t="n">
        <v>19</v>
      </c>
      <c r="C174" s="13" t="n">
        <v>4</v>
      </c>
      <c r="D174" s="13" t="n">
        <v>4</v>
      </c>
      <c r="E174" s="13" t="n">
        <v>0.5</v>
      </c>
      <c r="F174" s="13" t="s">
        <v>57</v>
      </c>
      <c r="G174" s="13" t="n">
        <v>5</v>
      </c>
      <c r="H174" s="13" t="n">
        <v>0</v>
      </c>
      <c r="I174" s="19"/>
      <c r="J174" s="19"/>
      <c r="K174" s="17" t="str">
        <f aca="false">IF(AND(I174&lt;&gt;"",J174&lt;&gt;"",J174&lt;&gt;0),I174/J174,"")</f>
        <v/>
      </c>
      <c r="L174" s="19"/>
      <c r="M174" s="19"/>
      <c r="N174" s="19"/>
      <c r="O174" s="19" t="n">
        <v>1.5</v>
      </c>
      <c r="P174" s="17" t="str">
        <f aca="false">IF(AND(N174&lt;&gt;"",O174&lt;&gt;"",I174&lt;&gt;"",I174&lt;&gt;0),N174/(O174*9.81*I174),"")</f>
        <v/>
      </c>
      <c r="Q174" s="19"/>
      <c r="R174" s="20"/>
    </row>
    <row r="175" customFormat="false" ht="15" hidden="false" customHeight="false" outlineLevel="0" collapsed="false">
      <c r="A175" s="11" t="n">
        <v>171</v>
      </c>
      <c r="B175" s="11" t="n">
        <v>180</v>
      </c>
      <c r="C175" s="11" t="n">
        <v>36</v>
      </c>
      <c r="D175" s="11" t="n">
        <v>5</v>
      </c>
      <c r="E175" s="11" t="n">
        <v>1</v>
      </c>
      <c r="F175" s="11" t="s">
        <v>57</v>
      </c>
      <c r="G175" s="11" t="n">
        <v>10</v>
      </c>
      <c r="H175" s="11" t="n">
        <v>20</v>
      </c>
      <c r="I175" s="16"/>
      <c r="J175" s="16"/>
      <c r="K175" s="17" t="str">
        <f aca="false">IF(AND(I175&lt;&gt;"",J175&lt;&gt;"",J175&lt;&gt;0),I175/J175,"")</f>
        <v/>
      </c>
      <c r="L175" s="16"/>
      <c r="M175" s="16"/>
      <c r="N175" s="16"/>
      <c r="O175" s="16" t="n">
        <v>1.5</v>
      </c>
      <c r="P175" s="17" t="str">
        <f aca="false">IF(AND(N175&lt;&gt;"",O175&lt;&gt;"",I175&lt;&gt;"",I175&lt;&gt;0),N175/(O175*9.81*I175),"")</f>
        <v/>
      </c>
      <c r="Q175" s="16"/>
      <c r="R175" s="18"/>
    </row>
    <row r="176" customFormat="false" ht="15" hidden="false" customHeight="false" outlineLevel="0" collapsed="false">
      <c r="A176" s="13" t="n">
        <v>172</v>
      </c>
      <c r="B176" s="13" t="n">
        <v>301</v>
      </c>
      <c r="C176" s="13" t="n">
        <v>61</v>
      </c>
      <c r="D176" s="13" t="n">
        <v>1</v>
      </c>
      <c r="E176" s="13" t="n">
        <v>1.5</v>
      </c>
      <c r="F176" s="13" t="s">
        <v>57</v>
      </c>
      <c r="G176" s="13" t="n">
        <v>10</v>
      </c>
      <c r="H176" s="13" t="n">
        <v>0</v>
      </c>
      <c r="I176" s="19"/>
      <c r="J176" s="19"/>
      <c r="K176" s="17" t="str">
        <f aca="false">IF(AND(I176&lt;&gt;"",J176&lt;&gt;"",J176&lt;&gt;0),I176/J176,"")</f>
        <v/>
      </c>
      <c r="L176" s="19"/>
      <c r="M176" s="19"/>
      <c r="N176" s="19"/>
      <c r="O176" s="19" t="n">
        <v>1.5</v>
      </c>
      <c r="P176" s="17" t="str">
        <f aca="false">IF(AND(N176&lt;&gt;"",O176&lt;&gt;"",I176&lt;&gt;"",I176&lt;&gt;0),N176/(O176*9.81*I176),"")</f>
        <v/>
      </c>
      <c r="Q176" s="19"/>
      <c r="R176" s="20"/>
    </row>
    <row r="177" customFormat="false" ht="15" hidden="false" customHeight="false" outlineLevel="0" collapsed="false">
      <c r="A177" s="11" t="n">
        <v>173</v>
      </c>
      <c r="B177" s="11" t="n">
        <v>77</v>
      </c>
      <c r="C177" s="11" t="n">
        <v>16</v>
      </c>
      <c r="D177" s="11" t="n">
        <v>2</v>
      </c>
      <c r="E177" s="11" t="n">
        <v>0.5</v>
      </c>
      <c r="F177" s="11" t="s">
        <v>59</v>
      </c>
      <c r="G177" s="11" t="n">
        <v>10</v>
      </c>
      <c r="H177" s="11" t="n">
        <v>0</v>
      </c>
      <c r="I177" s="16"/>
      <c r="J177" s="16"/>
      <c r="K177" s="17" t="str">
        <f aca="false">IF(AND(I177&lt;&gt;"",J177&lt;&gt;"",J177&lt;&gt;0),I177/J177,"")</f>
        <v/>
      </c>
      <c r="L177" s="16"/>
      <c r="M177" s="16"/>
      <c r="N177" s="16"/>
      <c r="O177" s="16" t="n">
        <v>1.5</v>
      </c>
      <c r="P177" s="17" t="str">
        <f aca="false">IF(AND(N177&lt;&gt;"",O177&lt;&gt;"",I177&lt;&gt;"",I177&lt;&gt;0),N177/(O177*9.81*I177),"")</f>
        <v/>
      </c>
      <c r="Q177" s="16"/>
      <c r="R177" s="18"/>
    </row>
    <row r="178" customFormat="false" ht="15" hidden="false" customHeight="false" outlineLevel="0" collapsed="false">
      <c r="A178" s="13" t="n">
        <v>174</v>
      </c>
      <c r="B178" s="13" t="n">
        <v>348</v>
      </c>
      <c r="C178" s="13" t="n">
        <v>70</v>
      </c>
      <c r="D178" s="13" t="n">
        <v>3</v>
      </c>
      <c r="E178" s="13" t="n">
        <v>1.5</v>
      </c>
      <c r="F178" s="13" t="s">
        <v>59</v>
      </c>
      <c r="G178" s="13" t="n">
        <v>10</v>
      </c>
      <c r="H178" s="13" t="n">
        <v>0</v>
      </c>
      <c r="I178" s="19"/>
      <c r="J178" s="19"/>
      <c r="K178" s="17" t="str">
        <f aca="false">IF(AND(I178&lt;&gt;"",J178&lt;&gt;"",J178&lt;&gt;0),I178/J178,"")</f>
        <v/>
      </c>
      <c r="L178" s="19"/>
      <c r="M178" s="19"/>
      <c r="N178" s="19"/>
      <c r="O178" s="19" t="n">
        <v>1.5</v>
      </c>
      <c r="P178" s="17" t="str">
        <f aca="false">IF(AND(N178&lt;&gt;"",O178&lt;&gt;"",I178&lt;&gt;"",I178&lt;&gt;0),N178/(O178*9.81*I178),"")</f>
        <v/>
      </c>
      <c r="Q178" s="19"/>
      <c r="R178" s="20"/>
    </row>
    <row r="179" customFormat="false" ht="15" hidden="false" customHeight="false" outlineLevel="0" collapsed="false">
      <c r="A179" s="11" t="n">
        <v>175</v>
      </c>
      <c r="B179" s="11" t="n">
        <v>181</v>
      </c>
      <c r="C179" s="11" t="n">
        <v>37</v>
      </c>
      <c r="D179" s="11" t="n">
        <v>1</v>
      </c>
      <c r="E179" s="11" t="n">
        <v>1</v>
      </c>
      <c r="F179" s="11" t="s">
        <v>59</v>
      </c>
      <c r="G179" s="11" t="n">
        <v>2</v>
      </c>
      <c r="H179" s="11" t="n">
        <v>0</v>
      </c>
      <c r="I179" s="16"/>
      <c r="J179" s="16"/>
      <c r="K179" s="17" t="str">
        <f aca="false">IF(AND(I179&lt;&gt;"",J179&lt;&gt;"",J179&lt;&gt;0),I179/J179,"")</f>
        <v/>
      </c>
      <c r="L179" s="16"/>
      <c r="M179" s="16"/>
      <c r="N179" s="16"/>
      <c r="O179" s="16" t="n">
        <v>1.5</v>
      </c>
      <c r="P179" s="17" t="str">
        <f aca="false">IF(AND(N179&lt;&gt;"",O179&lt;&gt;"",I179&lt;&gt;"",I179&lt;&gt;0),N179/(O179*9.81*I179),"")</f>
        <v/>
      </c>
      <c r="Q179" s="16"/>
      <c r="R179" s="18"/>
    </row>
    <row r="180" customFormat="false" ht="15" hidden="false" customHeight="false" outlineLevel="0" collapsed="false">
      <c r="A180" s="13" t="n">
        <v>176</v>
      </c>
      <c r="B180" s="13" t="n">
        <v>467</v>
      </c>
      <c r="C180" s="13" t="n">
        <v>94</v>
      </c>
      <c r="D180" s="13" t="n">
        <v>2</v>
      </c>
      <c r="E180" s="13" t="n">
        <v>2</v>
      </c>
      <c r="F180" s="13" t="s">
        <v>59</v>
      </c>
      <c r="G180" s="13" t="n">
        <v>5</v>
      </c>
      <c r="H180" s="13" t="n">
        <v>0</v>
      </c>
      <c r="I180" s="19"/>
      <c r="J180" s="19"/>
      <c r="K180" s="17" t="str">
        <f aca="false">IF(AND(I180&lt;&gt;"",J180&lt;&gt;"",J180&lt;&gt;0),I180/J180,"")</f>
        <v/>
      </c>
      <c r="L180" s="19"/>
      <c r="M180" s="19"/>
      <c r="N180" s="19"/>
      <c r="O180" s="19" t="n">
        <v>1.5</v>
      </c>
      <c r="P180" s="17" t="str">
        <f aca="false">IF(AND(N180&lt;&gt;"",O180&lt;&gt;"",I180&lt;&gt;"",I180&lt;&gt;0),N180/(O180*9.81*I180),"")</f>
        <v/>
      </c>
      <c r="Q180" s="19"/>
      <c r="R180" s="20"/>
    </row>
    <row r="181" customFormat="false" ht="15" hidden="false" customHeight="false" outlineLevel="0" collapsed="false">
      <c r="A181" s="11" t="n">
        <v>177</v>
      </c>
      <c r="B181" s="11" t="n">
        <v>356</v>
      </c>
      <c r="C181" s="11" t="n">
        <v>72</v>
      </c>
      <c r="D181" s="11" t="n">
        <v>1</v>
      </c>
      <c r="E181" s="11" t="n">
        <v>1.5</v>
      </c>
      <c r="F181" s="11" t="s">
        <v>59</v>
      </c>
      <c r="G181" s="11" t="n">
        <v>10</v>
      </c>
      <c r="H181" s="11" t="n">
        <v>20</v>
      </c>
      <c r="I181" s="16"/>
      <c r="J181" s="16"/>
      <c r="K181" s="17" t="str">
        <f aca="false">IF(AND(I181&lt;&gt;"",J181&lt;&gt;"",J181&lt;&gt;0),I181/J181,"")</f>
        <v/>
      </c>
      <c r="L181" s="16"/>
      <c r="M181" s="16"/>
      <c r="N181" s="16"/>
      <c r="O181" s="16" t="n">
        <v>1.5</v>
      </c>
      <c r="P181" s="17" t="str">
        <f aca="false">IF(AND(N181&lt;&gt;"",O181&lt;&gt;"",I181&lt;&gt;"",I181&lt;&gt;0),N181/(O181*9.81*I181),"")</f>
        <v/>
      </c>
      <c r="Q181" s="16"/>
      <c r="R181" s="18"/>
    </row>
    <row r="182" customFormat="false" ht="15" hidden="false" customHeight="false" outlineLevel="0" collapsed="false">
      <c r="A182" s="13" t="n">
        <v>178</v>
      </c>
      <c r="B182" s="13" t="n">
        <v>255</v>
      </c>
      <c r="C182" s="13" t="n">
        <v>51</v>
      </c>
      <c r="D182" s="13" t="n">
        <v>5</v>
      </c>
      <c r="E182" s="13" t="n">
        <v>1</v>
      </c>
      <c r="F182" s="13" t="s">
        <v>61</v>
      </c>
      <c r="G182" s="13" t="n">
        <v>5</v>
      </c>
      <c r="H182" s="13" t="n">
        <v>20</v>
      </c>
      <c r="I182" s="19"/>
      <c r="J182" s="19"/>
      <c r="K182" s="17" t="str">
        <f aca="false">IF(AND(I182&lt;&gt;"",J182&lt;&gt;"",J182&lt;&gt;0),I182/J182,"")</f>
        <v/>
      </c>
      <c r="L182" s="19"/>
      <c r="M182" s="19"/>
      <c r="N182" s="19"/>
      <c r="O182" s="19" t="n">
        <v>1.5</v>
      </c>
      <c r="P182" s="17" t="str">
        <f aca="false">IF(AND(N182&lt;&gt;"",O182&lt;&gt;"",I182&lt;&gt;"",I182&lt;&gt;0),N182/(O182*9.81*I182),"")</f>
        <v/>
      </c>
      <c r="Q182" s="19"/>
      <c r="R182" s="20"/>
    </row>
    <row r="183" customFormat="false" ht="15" hidden="false" customHeight="false" outlineLevel="0" collapsed="false">
      <c r="A183" s="11" t="n">
        <v>179</v>
      </c>
      <c r="B183" s="11" t="n">
        <v>315</v>
      </c>
      <c r="C183" s="11" t="n">
        <v>63</v>
      </c>
      <c r="D183" s="11" t="n">
        <v>5</v>
      </c>
      <c r="E183" s="11" t="n">
        <v>1.5</v>
      </c>
      <c r="F183" s="11" t="s">
        <v>57</v>
      </c>
      <c r="G183" s="11" t="n">
        <v>10</v>
      </c>
      <c r="H183" s="11" t="n">
        <v>20</v>
      </c>
      <c r="I183" s="16"/>
      <c r="J183" s="16"/>
      <c r="K183" s="17" t="str">
        <f aca="false">IF(AND(I183&lt;&gt;"",J183&lt;&gt;"",J183&lt;&gt;0),I183/J183,"")</f>
        <v/>
      </c>
      <c r="L183" s="16"/>
      <c r="M183" s="16"/>
      <c r="N183" s="16"/>
      <c r="O183" s="16" t="n">
        <v>1.5</v>
      </c>
      <c r="P183" s="17" t="str">
        <f aca="false">IF(AND(N183&lt;&gt;"",O183&lt;&gt;"",I183&lt;&gt;"",I183&lt;&gt;0),N183/(O183*9.81*I183),"")</f>
        <v/>
      </c>
      <c r="Q183" s="16"/>
      <c r="R183" s="18"/>
    </row>
    <row r="184" customFormat="false" ht="15" hidden="false" customHeight="false" outlineLevel="0" collapsed="false">
      <c r="A184" s="13" t="n">
        <v>180</v>
      </c>
      <c r="B184" s="13" t="n">
        <v>358</v>
      </c>
      <c r="C184" s="13" t="n">
        <v>72</v>
      </c>
      <c r="D184" s="13" t="n">
        <v>3</v>
      </c>
      <c r="E184" s="13" t="n">
        <v>1.5</v>
      </c>
      <c r="F184" s="13" t="s">
        <v>59</v>
      </c>
      <c r="G184" s="13" t="n">
        <v>10</v>
      </c>
      <c r="H184" s="13" t="n">
        <v>20</v>
      </c>
      <c r="I184" s="19"/>
      <c r="J184" s="19"/>
      <c r="K184" s="17" t="str">
        <f aca="false">IF(AND(I184&lt;&gt;"",J184&lt;&gt;"",J184&lt;&gt;0),I184/J184,"")</f>
        <v/>
      </c>
      <c r="L184" s="19"/>
      <c r="M184" s="19"/>
      <c r="N184" s="19"/>
      <c r="O184" s="19" t="n">
        <v>1.5</v>
      </c>
      <c r="P184" s="17" t="str">
        <f aca="false">IF(AND(N184&lt;&gt;"",O184&lt;&gt;"",I184&lt;&gt;"",I184&lt;&gt;0),N184/(O184*9.81*I184),"")</f>
        <v/>
      </c>
      <c r="Q184" s="19"/>
      <c r="R184" s="20"/>
    </row>
    <row r="185" customFormat="false" ht="15" hidden="false" customHeight="false" outlineLevel="0" collapsed="false">
      <c r="A185" s="11" t="n">
        <v>181</v>
      </c>
      <c r="B185" s="11" t="n">
        <v>172</v>
      </c>
      <c r="C185" s="11" t="n">
        <v>35</v>
      </c>
      <c r="D185" s="11" t="n">
        <v>2</v>
      </c>
      <c r="E185" s="11" t="n">
        <v>1</v>
      </c>
      <c r="F185" s="11" t="s">
        <v>57</v>
      </c>
      <c r="G185" s="11" t="n">
        <v>10</v>
      </c>
      <c r="H185" s="11" t="n">
        <v>10</v>
      </c>
      <c r="I185" s="16"/>
      <c r="J185" s="16"/>
      <c r="K185" s="17" t="str">
        <f aca="false">IF(AND(I185&lt;&gt;"",J185&lt;&gt;"",J185&lt;&gt;0),I185/J185,"")</f>
        <v/>
      </c>
      <c r="L185" s="16"/>
      <c r="M185" s="16"/>
      <c r="N185" s="16"/>
      <c r="O185" s="16" t="n">
        <v>1.5</v>
      </c>
      <c r="P185" s="17" t="str">
        <f aca="false">IF(AND(N185&lt;&gt;"",O185&lt;&gt;"",I185&lt;&gt;"",I185&lt;&gt;0),N185/(O185*9.81*I185),"")</f>
        <v/>
      </c>
      <c r="Q185" s="16"/>
      <c r="R185" s="18"/>
    </row>
    <row r="186" customFormat="false" ht="15" hidden="false" customHeight="false" outlineLevel="0" collapsed="false">
      <c r="A186" s="13" t="n">
        <v>182</v>
      </c>
      <c r="B186" s="13" t="n">
        <v>511</v>
      </c>
      <c r="C186" s="13" t="n">
        <v>103</v>
      </c>
      <c r="D186" s="13" t="n">
        <v>1</v>
      </c>
      <c r="E186" s="13" t="n">
        <v>2</v>
      </c>
      <c r="F186" s="13" t="s">
        <v>61</v>
      </c>
      <c r="G186" s="13" t="n">
        <v>5</v>
      </c>
      <c r="H186" s="13" t="n">
        <v>0</v>
      </c>
      <c r="I186" s="19"/>
      <c r="J186" s="19"/>
      <c r="K186" s="17" t="str">
        <f aca="false">IF(AND(I186&lt;&gt;"",J186&lt;&gt;"",J186&lt;&gt;0),I186/J186,"")</f>
        <v/>
      </c>
      <c r="L186" s="19"/>
      <c r="M186" s="19"/>
      <c r="N186" s="19"/>
      <c r="O186" s="19" t="n">
        <v>1.5</v>
      </c>
      <c r="P186" s="17" t="str">
        <f aca="false">IF(AND(N186&lt;&gt;"",O186&lt;&gt;"",I186&lt;&gt;"",I186&lt;&gt;0),N186/(O186*9.81*I186),"")</f>
        <v/>
      </c>
      <c r="Q186" s="19"/>
      <c r="R186" s="20"/>
    </row>
    <row r="187" customFormat="false" ht="15" hidden="false" customHeight="false" outlineLevel="0" collapsed="false">
      <c r="A187" s="11" t="n">
        <v>183</v>
      </c>
      <c r="B187" s="11" t="n">
        <v>67</v>
      </c>
      <c r="C187" s="11" t="n">
        <v>14</v>
      </c>
      <c r="D187" s="11" t="n">
        <v>2</v>
      </c>
      <c r="E187" s="11" t="n">
        <v>0.5</v>
      </c>
      <c r="F187" s="11" t="s">
        <v>59</v>
      </c>
      <c r="G187" s="11" t="n">
        <v>5</v>
      </c>
      <c r="H187" s="11" t="n">
        <v>10</v>
      </c>
      <c r="I187" s="16"/>
      <c r="J187" s="16"/>
      <c r="K187" s="17" t="str">
        <f aca="false">IF(AND(I187&lt;&gt;"",J187&lt;&gt;"",J187&lt;&gt;0),I187/J187,"")</f>
        <v/>
      </c>
      <c r="L187" s="16"/>
      <c r="M187" s="16"/>
      <c r="N187" s="16"/>
      <c r="O187" s="16" t="n">
        <v>1.5</v>
      </c>
      <c r="P187" s="17" t="str">
        <f aca="false">IF(AND(N187&lt;&gt;"",O187&lt;&gt;"",I187&lt;&gt;"",I187&lt;&gt;0),N187/(O187*9.81*I187),"")</f>
        <v/>
      </c>
      <c r="Q187" s="16"/>
      <c r="R187" s="18"/>
    </row>
    <row r="188" customFormat="false" ht="15" hidden="false" customHeight="false" outlineLevel="0" collapsed="false">
      <c r="A188" s="13" t="n">
        <v>184</v>
      </c>
      <c r="B188" s="13" t="n">
        <v>215</v>
      </c>
      <c r="C188" s="13" t="n">
        <v>43</v>
      </c>
      <c r="D188" s="13" t="n">
        <v>5</v>
      </c>
      <c r="E188" s="13" t="n">
        <v>1</v>
      </c>
      <c r="F188" s="13" t="s">
        <v>59</v>
      </c>
      <c r="G188" s="13" t="n">
        <v>10</v>
      </c>
      <c r="H188" s="13" t="n">
        <v>0</v>
      </c>
      <c r="I188" s="19"/>
      <c r="J188" s="19"/>
      <c r="K188" s="17" t="str">
        <f aca="false">IF(AND(I188&lt;&gt;"",J188&lt;&gt;"",J188&lt;&gt;0),I188/J188,"")</f>
        <v/>
      </c>
      <c r="L188" s="19"/>
      <c r="M188" s="19"/>
      <c r="N188" s="19"/>
      <c r="O188" s="19" t="n">
        <v>1.5</v>
      </c>
      <c r="P188" s="17" t="str">
        <f aca="false">IF(AND(N188&lt;&gt;"",O188&lt;&gt;"",I188&lt;&gt;"",I188&lt;&gt;0),N188/(O188*9.81*I188),"")</f>
        <v/>
      </c>
      <c r="Q188" s="19"/>
      <c r="R188" s="20"/>
    </row>
    <row r="189" customFormat="false" ht="15" hidden="false" customHeight="false" outlineLevel="0" collapsed="false">
      <c r="A189" s="11" t="n">
        <v>185</v>
      </c>
      <c r="B189" s="11" t="n">
        <v>134</v>
      </c>
      <c r="C189" s="11" t="n">
        <v>27</v>
      </c>
      <c r="D189" s="11" t="n">
        <v>4</v>
      </c>
      <c r="E189" s="11" t="n">
        <v>0.5</v>
      </c>
      <c r="F189" s="11" t="s">
        <v>61</v>
      </c>
      <c r="G189" s="11" t="n">
        <v>10</v>
      </c>
      <c r="H189" s="11" t="n">
        <v>20</v>
      </c>
      <c r="I189" s="16"/>
      <c r="J189" s="16"/>
      <c r="K189" s="17" t="str">
        <f aca="false">IF(AND(I189&lt;&gt;"",J189&lt;&gt;"",J189&lt;&gt;0),I189/J189,"")</f>
        <v/>
      </c>
      <c r="L189" s="16"/>
      <c r="M189" s="16"/>
      <c r="N189" s="16"/>
      <c r="O189" s="16" t="n">
        <v>1.5</v>
      </c>
      <c r="P189" s="17" t="str">
        <f aca="false">IF(AND(N189&lt;&gt;"",O189&lt;&gt;"",I189&lt;&gt;"",I189&lt;&gt;0),N189/(O189*9.81*I189),"")</f>
        <v/>
      </c>
      <c r="Q189" s="16"/>
      <c r="R189" s="18"/>
    </row>
    <row r="190" customFormat="false" ht="15" hidden="false" customHeight="false" outlineLevel="0" collapsed="false">
      <c r="A190" s="13" t="n">
        <v>186</v>
      </c>
      <c r="B190" s="13" t="n">
        <v>145</v>
      </c>
      <c r="C190" s="13" t="n">
        <v>29</v>
      </c>
      <c r="D190" s="13" t="n">
        <v>5</v>
      </c>
      <c r="E190" s="13" t="n">
        <v>1</v>
      </c>
      <c r="F190" s="13" t="s">
        <v>57</v>
      </c>
      <c r="G190" s="13" t="n">
        <v>2</v>
      </c>
      <c r="H190" s="13" t="n">
        <v>10</v>
      </c>
      <c r="I190" s="19"/>
      <c r="J190" s="19"/>
      <c r="K190" s="17" t="str">
        <f aca="false">IF(AND(I190&lt;&gt;"",J190&lt;&gt;"",J190&lt;&gt;0),I190/J190,"")</f>
        <v/>
      </c>
      <c r="L190" s="19"/>
      <c r="M190" s="19"/>
      <c r="N190" s="19"/>
      <c r="O190" s="19" t="n">
        <v>1.5</v>
      </c>
      <c r="P190" s="17" t="str">
        <f aca="false">IF(AND(N190&lt;&gt;"",O190&lt;&gt;"",I190&lt;&gt;"",I190&lt;&gt;0),N190/(O190*9.81*I190),"")</f>
        <v/>
      </c>
      <c r="Q190" s="19"/>
      <c r="R190" s="20"/>
    </row>
    <row r="191" customFormat="false" ht="15" hidden="false" customHeight="false" outlineLevel="0" collapsed="false">
      <c r="A191" s="11" t="n">
        <v>187</v>
      </c>
      <c r="B191" s="11" t="n">
        <v>212</v>
      </c>
      <c r="C191" s="11" t="n">
        <v>43</v>
      </c>
      <c r="D191" s="11" t="n">
        <v>2</v>
      </c>
      <c r="E191" s="11" t="n">
        <v>1</v>
      </c>
      <c r="F191" s="11" t="s">
        <v>59</v>
      </c>
      <c r="G191" s="11" t="n">
        <v>10</v>
      </c>
      <c r="H191" s="11" t="n">
        <v>0</v>
      </c>
      <c r="I191" s="16"/>
      <c r="J191" s="16"/>
      <c r="K191" s="17" t="str">
        <f aca="false">IF(AND(I191&lt;&gt;"",J191&lt;&gt;"",J191&lt;&gt;0),I191/J191,"")</f>
        <v/>
      </c>
      <c r="L191" s="16"/>
      <c r="M191" s="16"/>
      <c r="N191" s="16"/>
      <c r="O191" s="16" t="n">
        <v>1.5</v>
      </c>
      <c r="P191" s="17" t="str">
        <f aca="false">IF(AND(N191&lt;&gt;"",O191&lt;&gt;"",I191&lt;&gt;"",I191&lt;&gt;0),N191/(O191*9.81*I191),"")</f>
        <v/>
      </c>
      <c r="Q191" s="16"/>
      <c r="R191" s="18"/>
    </row>
    <row r="192" customFormat="false" ht="15" hidden="false" customHeight="false" outlineLevel="0" collapsed="false">
      <c r="A192" s="13" t="n">
        <v>188</v>
      </c>
      <c r="B192" s="13" t="n">
        <v>169</v>
      </c>
      <c r="C192" s="13" t="n">
        <v>34</v>
      </c>
      <c r="D192" s="13" t="n">
        <v>4</v>
      </c>
      <c r="E192" s="13" t="n">
        <v>1</v>
      </c>
      <c r="F192" s="13" t="s">
        <v>57</v>
      </c>
      <c r="G192" s="13" t="n">
        <v>10</v>
      </c>
      <c r="H192" s="13" t="n">
        <v>0</v>
      </c>
      <c r="I192" s="19"/>
      <c r="J192" s="19"/>
      <c r="K192" s="17" t="str">
        <f aca="false">IF(AND(I192&lt;&gt;"",J192&lt;&gt;"",J192&lt;&gt;0),I192/J192,"")</f>
        <v/>
      </c>
      <c r="L192" s="19"/>
      <c r="M192" s="19"/>
      <c r="N192" s="19"/>
      <c r="O192" s="19" t="n">
        <v>1.5</v>
      </c>
      <c r="P192" s="17" t="str">
        <f aca="false">IF(AND(N192&lt;&gt;"",O192&lt;&gt;"",I192&lt;&gt;"",I192&lt;&gt;0),N192/(O192*9.81*I192),"")</f>
        <v/>
      </c>
      <c r="Q192" s="19"/>
      <c r="R192" s="20"/>
    </row>
    <row r="193" customFormat="false" ht="15" hidden="false" customHeight="false" outlineLevel="0" collapsed="false">
      <c r="A193" s="11" t="n">
        <v>189</v>
      </c>
      <c r="B193" s="11" t="n">
        <v>462</v>
      </c>
      <c r="C193" s="11" t="n">
        <v>93</v>
      </c>
      <c r="D193" s="11" t="n">
        <v>2</v>
      </c>
      <c r="E193" s="11" t="n">
        <v>2</v>
      </c>
      <c r="F193" s="11" t="s">
        <v>59</v>
      </c>
      <c r="G193" s="11" t="n">
        <v>2</v>
      </c>
      <c r="H193" s="11" t="n">
        <v>20</v>
      </c>
      <c r="I193" s="16"/>
      <c r="J193" s="16"/>
      <c r="K193" s="17" t="str">
        <f aca="false">IF(AND(I193&lt;&gt;"",J193&lt;&gt;"",J193&lt;&gt;0),I193/J193,"")</f>
        <v/>
      </c>
      <c r="L193" s="16"/>
      <c r="M193" s="16"/>
      <c r="N193" s="16"/>
      <c r="O193" s="16" t="n">
        <v>1.5</v>
      </c>
      <c r="P193" s="17" t="str">
        <f aca="false">IF(AND(N193&lt;&gt;"",O193&lt;&gt;"",I193&lt;&gt;"",I193&lt;&gt;0),N193/(O193*9.81*I193),"")</f>
        <v/>
      </c>
      <c r="Q193" s="16"/>
      <c r="R193" s="18"/>
    </row>
    <row r="194" customFormat="false" ht="15" hidden="false" customHeight="false" outlineLevel="0" collapsed="false">
      <c r="A194" s="13" t="n">
        <v>190</v>
      </c>
      <c r="B194" s="13" t="n">
        <v>320</v>
      </c>
      <c r="C194" s="13" t="n">
        <v>64</v>
      </c>
      <c r="D194" s="13" t="n">
        <v>5</v>
      </c>
      <c r="E194" s="13" t="n">
        <v>1.5</v>
      </c>
      <c r="F194" s="13" t="s">
        <v>59</v>
      </c>
      <c r="G194" s="13" t="n">
        <v>2</v>
      </c>
      <c r="H194" s="13" t="n">
        <v>0</v>
      </c>
      <c r="I194" s="19"/>
      <c r="J194" s="19"/>
      <c r="K194" s="17" t="str">
        <f aca="false">IF(AND(I194&lt;&gt;"",J194&lt;&gt;"",J194&lt;&gt;0),I194/J194,"")</f>
        <v/>
      </c>
      <c r="L194" s="19"/>
      <c r="M194" s="19"/>
      <c r="N194" s="19"/>
      <c r="O194" s="19" t="n">
        <v>1.5</v>
      </c>
      <c r="P194" s="17" t="str">
        <f aca="false">IF(AND(N194&lt;&gt;"",O194&lt;&gt;"",I194&lt;&gt;"",I194&lt;&gt;0),N194/(O194*9.81*I194),"")</f>
        <v/>
      </c>
      <c r="Q194" s="19"/>
      <c r="R194" s="20"/>
    </row>
    <row r="195" customFormat="false" ht="15" hidden="false" customHeight="false" outlineLevel="0" collapsed="false">
      <c r="A195" s="11" t="n">
        <v>191</v>
      </c>
      <c r="B195" s="11" t="n">
        <v>159</v>
      </c>
      <c r="C195" s="11" t="n">
        <v>32</v>
      </c>
      <c r="D195" s="11" t="n">
        <v>4</v>
      </c>
      <c r="E195" s="11" t="n">
        <v>1</v>
      </c>
      <c r="F195" s="11" t="s">
        <v>57</v>
      </c>
      <c r="G195" s="11" t="n">
        <v>5</v>
      </c>
      <c r="H195" s="11" t="n">
        <v>10</v>
      </c>
      <c r="I195" s="16"/>
      <c r="J195" s="16"/>
      <c r="K195" s="17" t="str">
        <f aca="false">IF(AND(I195&lt;&gt;"",J195&lt;&gt;"",J195&lt;&gt;0),I195/J195,"")</f>
        <v/>
      </c>
      <c r="L195" s="16"/>
      <c r="M195" s="16"/>
      <c r="N195" s="16"/>
      <c r="O195" s="16" t="n">
        <v>1.5</v>
      </c>
      <c r="P195" s="17" t="str">
        <f aca="false">IF(AND(N195&lt;&gt;"",O195&lt;&gt;"",I195&lt;&gt;"",I195&lt;&gt;0),N195/(O195*9.81*I195),"")</f>
        <v/>
      </c>
      <c r="Q195" s="16"/>
      <c r="R195" s="18"/>
    </row>
    <row r="196" customFormat="false" ht="15" hidden="false" customHeight="false" outlineLevel="0" collapsed="false">
      <c r="A196" s="13" t="n">
        <v>192</v>
      </c>
      <c r="B196" s="13" t="n">
        <v>504</v>
      </c>
      <c r="C196" s="13" t="n">
        <v>101</v>
      </c>
      <c r="D196" s="13" t="n">
        <v>4</v>
      </c>
      <c r="E196" s="13" t="n">
        <v>2</v>
      </c>
      <c r="F196" s="13" t="s">
        <v>61</v>
      </c>
      <c r="G196" s="13" t="n">
        <v>2</v>
      </c>
      <c r="H196" s="13" t="n">
        <v>10</v>
      </c>
      <c r="I196" s="19"/>
      <c r="J196" s="19"/>
      <c r="K196" s="17" t="str">
        <f aca="false">IF(AND(I196&lt;&gt;"",J196&lt;&gt;"",J196&lt;&gt;0),I196/J196,"")</f>
        <v/>
      </c>
      <c r="L196" s="19"/>
      <c r="M196" s="19"/>
      <c r="N196" s="19"/>
      <c r="O196" s="19" t="n">
        <v>1.5</v>
      </c>
      <c r="P196" s="17" t="str">
        <f aca="false">IF(AND(N196&lt;&gt;"",O196&lt;&gt;"",I196&lt;&gt;"",I196&lt;&gt;0),N196/(O196*9.81*I196),"")</f>
        <v/>
      </c>
      <c r="Q196" s="19"/>
      <c r="R196" s="20"/>
    </row>
    <row r="197" customFormat="false" ht="15" hidden="false" customHeight="false" outlineLevel="0" collapsed="false">
      <c r="A197" s="11" t="n">
        <v>193</v>
      </c>
      <c r="B197" s="11" t="n">
        <v>202</v>
      </c>
      <c r="C197" s="11" t="n">
        <v>41</v>
      </c>
      <c r="D197" s="11" t="n">
        <v>2</v>
      </c>
      <c r="E197" s="11" t="n">
        <v>1</v>
      </c>
      <c r="F197" s="11" t="s">
        <v>59</v>
      </c>
      <c r="G197" s="11" t="n">
        <v>5</v>
      </c>
      <c r="H197" s="11" t="n">
        <v>10</v>
      </c>
      <c r="I197" s="16"/>
      <c r="J197" s="16"/>
      <c r="K197" s="17" t="str">
        <f aca="false">IF(AND(I197&lt;&gt;"",J197&lt;&gt;"",J197&lt;&gt;0),I197/J197,"")</f>
        <v/>
      </c>
      <c r="L197" s="16"/>
      <c r="M197" s="16"/>
      <c r="N197" s="16"/>
      <c r="O197" s="16" t="n">
        <v>1.5</v>
      </c>
      <c r="P197" s="17" t="str">
        <f aca="false">IF(AND(N197&lt;&gt;"",O197&lt;&gt;"",I197&lt;&gt;"",I197&lt;&gt;0),N197/(O197*9.81*I197),"")</f>
        <v/>
      </c>
      <c r="Q197" s="16"/>
      <c r="R197" s="18"/>
    </row>
    <row r="198" customFormat="false" ht="15" hidden="false" customHeight="false" outlineLevel="0" collapsed="false">
      <c r="A198" s="13" t="n">
        <v>194</v>
      </c>
      <c r="B198" s="13" t="n">
        <v>407</v>
      </c>
      <c r="C198" s="13" t="n">
        <v>82</v>
      </c>
      <c r="D198" s="13" t="n">
        <v>2</v>
      </c>
      <c r="E198" s="13" t="n">
        <v>2</v>
      </c>
      <c r="F198" s="13" t="s">
        <v>57</v>
      </c>
      <c r="G198" s="13" t="n">
        <v>2</v>
      </c>
      <c r="H198" s="13" t="n">
        <v>0</v>
      </c>
      <c r="I198" s="19"/>
      <c r="J198" s="19"/>
      <c r="K198" s="17" t="str">
        <f aca="false">IF(AND(I198&lt;&gt;"",J198&lt;&gt;"",J198&lt;&gt;0),I198/J198,"")</f>
        <v/>
      </c>
      <c r="L198" s="19"/>
      <c r="M198" s="19"/>
      <c r="N198" s="19"/>
      <c r="O198" s="19" t="n">
        <v>1.5</v>
      </c>
      <c r="P198" s="17" t="str">
        <f aca="false">IF(AND(N198&lt;&gt;"",O198&lt;&gt;"",I198&lt;&gt;"",I198&lt;&gt;0),N198/(O198*9.81*I198),"")</f>
        <v/>
      </c>
      <c r="Q198" s="19"/>
      <c r="R198" s="20"/>
    </row>
    <row r="199" customFormat="false" ht="15" hidden="false" customHeight="false" outlineLevel="0" collapsed="false">
      <c r="A199" s="11" t="n">
        <v>195</v>
      </c>
      <c r="B199" s="11" t="n">
        <v>497</v>
      </c>
      <c r="C199" s="11" t="n">
        <v>100</v>
      </c>
      <c r="D199" s="11" t="n">
        <v>2</v>
      </c>
      <c r="E199" s="11" t="n">
        <v>2</v>
      </c>
      <c r="F199" s="11" t="s">
        <v>61</v>
      </c>
      <c r="G199" s="11" t="n">
        <v>2</v>
      </c>
      <c r="H199" s="11" t="n">
        <v>0</v>
      </c>
      <c r="I199" s="16"/>
      <c r="J199" s="16"/>
      <c r="K199" s="17" t="str">
        <f aca="false">IF(AND(I199&lt;&gt;"",J199&lt;&gt;"",J199&lt;&gt;0),I199/J199,"")</f>
        <v/>
      </c>
      <c r="L199" s="16"/>
      <c r="M199" s="16"/>
      <c r="N199" s="16"/>
      <c r="O199" s="16" t="n">
        <v>1.5</v>
      </c>
      <c r="P199" s="17" t="str">
        <f aca="false">IF(AND(N199&lt;&gt;"",O199&lt;&gt;"",I199&lt;&gt;"",I199&lt;&gt;0),N199/(O199*9.81*I199),"")</f>
        <v/>
      </c>
      <c r="Q199" s="16"/>
      <c r="R199" s="18"/>
    </row>
    <row r="200" customFormat="false" ht="15" hidden="false" customHeight="false" outlineLevel="0" collapsed="false">
      <c r="A200" s="13" t="n">
        <v>196</v>
      </c>
      <c r="B200" s="13" t="n">
        <v>146</v>
      </c>
      <c r="C200" s="13" t="n">
        <v>30</v>
      </c>
      <c r="D200" s="13" t="n">
        <v>1</v>
      </c>
      <c r="E200" s="13" t="n">
        <v>1</v>
      </c>
      <c r="F200" s="13" t="s">
        <v>57</v>
      </c>
      <c r="G200" s="13" t="n">
        <v>2</v>
      </c>
      <c r="H200" s="13" t="n">
        <v>20</v>
      </c>
      <c r="I200" s="19"/>
      <c r="J200" s="19"/>
      <c r="K200" s="17" t="str">
        <f aca="false">IF(AND(I200&lt;&gt;"",J200&lt;&gt;"",J200&lt;&gt;0),I200/J200,"")</f>
        <v/>
      </c>
      <c r="L200" s="19"/>
      <c r="M200" s="19"/>
      <c r="N200" s="19"/>
      <c r="O200" s="19" t="n">
        <v>1.5</v>
      </c>
      <c r="P200" s="17" t="str">
        <f aca="false">IF(AND(N200&lt;&gt;"",O200&lt;&gt;"",I200&lt;&gt;"",I200&lt;&gt;0),N200/(O200*9.81*I200),"")</f>
        <v/>
      </c>
      <c r="Q200" s="19"/>
      <c r="R200" s="20"/>
    </row>
    <row r="201" customFormat="false" ht="15" hidden="false" customHeight="false" outlineLevel="0" collapsed="false">
      <c r="A201" s="11" t="n">
        <v>197</v>
      </c>
      <c r="B201" s="11" t="n">
        <v>386</v>
      </c>
      <c r="C201" s="11" t="n">
        <v>78</v>
      </c>
      <c r="D201" s="11" t="n">
        <v>1</v>
      </c>
      <c r="E201" s="11" t="n">
        <v>1.5</v>
      </c>
      <c r="F201" s="11" t="s">
        <v>61</v>
      </c>
      <c r="G201" s="11" t="n">
        <v>5</v>
      </c>
      <c r="H201" s="11" t="n">
        <v>20</v>
      </c>
      <c r="I201" s="16"/>
      <c r="J201" s="16"/>
      <c r="K201" s="17" t="str">
        <f aca="false">IF(AND(I201&lt;&gt;"",J201&lt;&gt;"",J201&lt;&gt;0),I201/J201,"")</f>
        <v/>
      </c>
      <c r="L201" s="16"/>
      <c r="M201" s="16"/>
      <c r="N201" s="16"/>
      <c r="O201" s="16" t="n">
        <v>1.5</v>
      </c>
      <c r="P201" s="17" t="str">
        <f aca="false">IF(AND(N201&lt;&gt;"",O201&lt;&gt;"",I201&lt;&gt;"",I201&lt;&gt;0),N201/(O201*9.81*I201),"")</f>
        <v/>
      </c>
      <c r="Q201" s="16"/>
      <c r="R201" s="18"/>
    </row>
    <row r="202" customFormat="false" ht="15" hidden="false" customHeight="false" outlineLevel="0" collapsed="false">
      <c r="A202" s="13" t="n">
        <v>198</v>
      </c>
      <c r="B202" s="13" t="n">
        <v>104</v>
      </c>
      <c r="C202" s="13" t="n">
        <v>21</v>
      </c>
      <c r="D202" s="13" t="n">
        <v>4</v>
      </c>
      <c r="E202" s="13" t="n">
        <v>0.5</v>
      </c>
      <c r="F202" s="13" t="s">
        <v>61</v>
      </c>
      <c r="G202" s="13" t="n">
        <v>2</v>
      </c>
      <c r="H202" s="13" t="n">
        <v>20</v>
      </c>
      <c r="I202" s="19"/>
      <c r="J202" s="19"/>
      <c r="K202" s="17" t="str">
        <f aca="false">IF(AND(I202&lt;&gt;"",J202&lt;&gt;"",J202&lt;&gt;0),I202/J202,"")</f>
        <v/>
      </c>
      <c r="L202" s="19"/>
      <c r="M202" s="19"/>
      <c r="N202" s="19"/>
      <c r="O202" s="19" t="n">
        <v>1.5</v>
      </c>
      <c r="P202" s="17" t="str">
        <f aca="false">IF(AND(N202&lt;&gt;"",O202&lt;&gt;"",I202&lt;&gt;"",I202&lt;&gt;0),N202/(O202*9.81*I202),"")</f>
        <v/>
      </c>
      <c r="Q202" s="19"/>
      <c r="R202" s="20"/>
    </row>
    <row r="203" customFormat="false" ht="15" hidden="false" customHeight="false" outlineLevel="0" collapsed="false">
      <c r="A203" s="11" t="n">
        <v>199</v>
      </c>
      <c r="B203" s="11" t="n">
        <v>252</v>
      </c>
      <c r="C203" s="11" t="n">
        <v>51</v>
      </c>
      <c r="D203" s="11" t="n">
        <v>2</v>
      </c>
      <c r="E203" s="11" t="n">
        <v>1</v>
      </c>
      <c r="F203" s="11" t="s">
        <v>61</v>
      </c>
      <c r="G203" s="11" t="n">
        <v>5</v>
      </c>
      <c r="H203" s="11" t="n">
        <v>20</v>
      </c>
      <c r="I203" s="16"/>
      <c r="J203" s="16"/>
      <c r="K203" s="17" t="str">
        <f aca="false">IF(AND(I203&lt;&gt;"",J203&lt;&gt;"",J203&lt;&gt;0),I203/J203,"")</f>
        <v/>
      </c>
      <c r="L203" s="16"/>
      <c r="M203" s="16"/>
      <c r="N203" s="16"/>
      <c r="O203" s="16" t="n">
        <v>1.5</v>
      </c>
      <c r="P203" s="17" t="str">
        <f aca="false">IF(AND(N203&lt;&gt;"",O203&lt;&gt;"",I203&lt;&gt;"",I203&lt;&gt;0),N203/(O203*9.81*I203),"")</f>
        <v/>
      </c>
      <c r="Q203" s="16"/>
      <c r="R203" s="18"/>
    </row>
    <row r="204" customFormat="false" ht="15" hidden="false" customHeight="false" outlineLevel="0" collapsed="false">
      <c r="A204" s="13" t="n">
        <v>200</v>
      </c>
      <c r="B204" s="13" t="n">
        <v>173</v>
      </c>
      <c r="C204" s="13" t="n">
        <v>35</v>
      </c>
      <c r="D204" s="13" t="n">
        <v>3</v>
      </c>
      <c r="E204" s="13" t="n">
        <v>1</v>
      </c>
      <c r="F204" s="13" t="s">
        <v>57</v>
      </c>
      <c r="G204" s="13" t="n">
        <v>10</v>
      </c>
      <c r="H204" s="13" t="n">
        <v>10</v>
      </c>
      <c r="I204" s="19"/>
      <c r="J204" s="19"/>
      <c r="K204" s="17" t="str">
        <f aca="false">IF(AND(I204&lt;&gt;"",J204&lt;&gt;"",J204&lt;&gt;0),I204/J204,"")</f>
        <v/>
      </c>
      <c r="L204" s="19"/>
      <c r="M204" s="19"/>
      <c r="N204" s="19"/>
      <c r="O204" s="19" t="n">
        <v>1.5</v>
      </c>
      <c r="P204" s="17" t="str">
        <f aca="false">IF(AND(N204&lt;&gt;"",O204&lt;&gt;"",I204&lt;&gt;"",I204&lt;&gt;0),N204/(O204*9.81*I204),"")</f>
        <v/>
      </c>
      <c r="Q204" s="19"/>
      <c r="R204" s="20"/>
    </row>
    <row r="205" customFormat="false" ht="15" hidden="false" customHeight="false" outlineLevel="0" collapsed="false">
      <c r="A205" s="11" t="n">
        <v>201</v>
      </c>
      <c r="B205" s="11" t="n">
        <v>420</v>
      </c>
      <c r="C205" s="11" t="n">
        <v>84</v>
      </c>
      <c r="D205" s="11" t="n">
        <v>5</v>
      </c>
      <c r="E205" s="11" t="n">
        <v>2</v>
      </c>
      <c r="F205" s="11" t="s">
        <v>57</v>
      </c>
      <c r="G205" s="11" t="n">
        <v>2</v>
      </c>
      <c r="H205" s="11" t="n">
        <v>20</v>
      </c>
      <c r="I205" s="16"/>
      <c r="J205" s="16"/>
      <c r="K205" s="17" t="str">
        <f aca="false">IF(AND(I205&lt;&gt;"",J205&lt;&gt;"",J205&lt;&gt;0),I205/J205,"")</f>
        <v/>
      </c>
      <c r="L205" s="16"/>
      <c r="M205" s="16"/>
      <c r="N205" s="16"/>
      <c r="O205" s="16" t="n">
        <v>1.5</v>
      </c>
      <c r="P205" s="17" t="str">
        <f aca="false">IF(AND(N205&lt;&gt;"",O205&lt;&gt;"",I205&lt;&gt;"",I205&lt;&gt;0),N205/(O205*9.81*I205),"")</f>
        <v/>
      </c>
      <c r="Q205" s="16"/>
      <c r="R205" s="18"/>
    </row>
    <row r="206" customFormat="false" ht="15" hidden="false" customHeight="false" outlineLevel="0" collapsed="false">
      <c r="A206" s="13" t="n">
        <v>202</v>
      </c>
      <c r="B206" s="13" t="n">
        <v>459</v>
      </c>
      <c r="C206" s="13" t="n">
        <v>92</v>
      </c>
      <c r="D206" s="13" t="n">
        <v>4</v>
      </c>
      <c r="E206" s="13" t="n">
        <v>2</v>
      </c>
      <c r="F206" s="13" t="s">
        <v>59</v>
      </c>
      <c r="G206" s="13" t="n">
        <v>2</v>
      </c>
      <c r="H206" s="13" t="n">
        <v>10</v>
      </c>
      <c r="I206" s="19"/>
      <c r="J206" s="19"/>
      <c r="K206" s="17" t="str">
        <f aca="false">IF(AND(I206&lt;&gt;"",J206&lt;&gt;"",J206&lt;&gt;0),I206/J206,"")</f>
        <v/>
      </c>
      <c r="L206" s="19"/>
      <c r="M206" s="19"/>
      <c r="N206" s="19"/>
      <c r="O206" s="19" t="n">
        <v>1.5</v>
      </c>
      <c r="P206" s="17" t="str">
        <f aca="false">IF(AND(N206&lt;&gt;"",O206&lt;&gt;"",I206&lt;&gt;"",I206&lt;&gt;0),N206/(O206*9.81*I206),"")</f>
        <v/>
      </c>
      <c r="Q206" s="19"/>
      <c r="R206" s="20"/>
    </row>
    <row r="207" customFormat="false" ht="15" hidden="false" customHeight="false" outlineLevel="0" collapsed="false">
      <c r="A207" s="11" t="n">
        <v>203</v>
      </c>
      <c r="B207" s="11" t="n">
        <v>18</v>
      </c>
      <c r="C207" s="11" t="n">
        <v>4</v>
      </c>
      <c r="D207" s="11" t="n">
        <v>3</v>
      </c>
      <c r="E207" s="11" t="n">
        <v>0.5</v>
      </c>
      <c r="F207" s="11" t="s">
        <v>57</v>
      </c>
      <c r="G207" s="11" t="n">
        <v>5</v>
      </c>
      <c r="H207" s="11" t="n">
        <v>0</v>
      </c>
      <c r="I207" s="16"/>
      <c r="J207" s="16"/>
      <c r="K207" s="17" t="str">
        <f aca="false">IF(AND(I207&lt;&gt;"",J207&lt;&gt;"",J207&lt;&gt;0),I207/J207,"")</f>
        <v/>
      </c>
      <c r="L207" s="16"/>
      <c r="M207" s="16"/>
      <c r="N207" s="16"/>
      <c r="O207" s="16" t="n">
        <v>1.5</v>
      </c>
      <c r="P207" s="17" t="str">
        <f aca="false">IF(AND(N207&lt;&gt;"",O207&lt;&gt;"",I207&lt;&gt;"",I207&lt;&gt;0),N207/(O207*9.81*I207),"")</f>
        <v/>
      </c>
      <c r="Q207" s="16"/>
      <c r="R207" s="18"/>
    </row>
    <row r="208" customFormat="false" ht="15" hidden="false" customHeight="false" outlineLevel="0" collapsed="false">
      <c r="A208" s="13" t="n">
        <v>204</v>
      </c>
      <c r="B208" s="13" t="n">
        <v>506</v>
      </c>
      <c r="C208" s="13" t="n">
        <v>102</v>
      </c>
      <c r="D208" s="13" t="n">
        <v>1</v>
      </c>
      <c r="E208" s="13" t="n">
        <v>2</v>
      </c>
      <c r="F208" s="13" t="s">
        <v>61</v>
      </c>
      <c r="G208" s="13" t="n">
        <v>2</v>
      </c>
      <c r="H208" s="13" t="n">
        <v>20</v>
      </c>
      <c r="I208" s="19"/>
      <c r="J208" s="19"/>
      <c r="K208" s="17" t="str">
        <f aca="false">IF(AND(I208&lt;&gt;"",J208&lt;&gt;"",J208&lt;&gt;0),I208/J208,"")</f>
        <v/>
      </c>
      <c r="L208" s="19"/>
      <c r="M208" s="19"/>
      <c r="N208" s="19"/>
      <c r="O208" s="19" t="n">
        <v>1.5</v>
      </c>
      <c r="P208" s="17" t="str">
        <f aca="false">IF(AND(N208&lt;&gt;"",O208&lt;&gt;"",I208&lt;&gt;"",I208&lt;&gt;0),N208/(O208*9.81*I208),"")</f>
        <v/>
      </c>
      <c r="Q208" s="19"/>
      <c r="R208" s="20"/>
    </row>
    <row r="209" customFormat="false" ht="15" hidden="false" customHeight="false" outlineLevel="0" collapsed="false">
      <c r="A209" s="11" t="n">
        <v>205</v>
      </c>
      <c r="B209" s="11" t="n">
        <v>21</v>
      </c>
      <c r="C209" s="11" t="n">
        <v>5</v>
      </c>
      <c r="D209" s="11" t="n">
        <v>1</v>
      </c>
      <c r="E209" s="11" t="n">
        <v>0.5</v>
      </c>
      <c r="F209" s="11" t="s">
        <v>57</v>
      </c>
      <c r="G209" s="11" t="n">
        <v>5</v>
      </c>
      <c r="H209" s="11" t="n">
        <v>10</v>
      </c>
      <c r="I209" s="16"/>
      <c r="J209" s="16"/>
      <c r="K209" s="17" t="str">
        <f aca="false">IF(AND(I209&lt;&gt;"",J209&lt;&gt;"",J209&lt;&gt;0),I209/J209,"")</f>
        <v/>
      </c>
      <c r="L209" s="16"/>
      <c r="M209" s="16"/>
      <c r="N209" s="16"/>
      <c r="O209" s="16" t="n">
        <v>1.5</v>
      </c>
      <c r="P209" s="17" t="str">
        <f aca="false">IF(AND(N209&lt;&gt;"",O209&lt;&gt;"",I209&lt;&gt;"",I209&lt;&gt;0),N209/(O209*9.81*I209),"")</f>
        <v/>
      </c>
      <c r="Q209" s="16"/>
      <c r="R209" s="18"/>
    </row>
    <row r="210" customFormat="false" ht="15" hidden="false" customHeight="false" outlineLevel="0" collapsed="false">
      <c r="A210" s="13" t="n">
        <v>206</v>
      </c>
      <c r="B210" s="13" t="n">
        <v>131</v>
      </c>
      <c r="C210" s="13" t="n">
        <v>27</v>
      </c>
      <c r="D210" s="13" t="n">
        <v>1</v>
      </c>
      <c r="E210" s="13" t="n">
        <v>0.5</v>
      </c>
      <c r="F210" s="13" t="s">
        <v>61</v>
      </c>
      <c r="G210" s="13" t="n">
        <v>10</v>
      </c>
      <c r="H210" s="13" t="n">
        <v>20</v>
      </c>
      <c r="I210" s="19"/>
      <c r="J210" s="19"/>
      <c r="K210" s="17" t="str">
        <f aca="false">IF(AND(I210&lt;&gt;"",J210&lt;&gt;"",J210&lt;&gt;0),I210/J210,"")</f>
        <v/>
      </c>
      <c r="L210" s="19"/>
      <c r="M210" s="19"/>
      <c r="N210" s="19"/>
      <c r="O210" s="19" t="n">
        <v>1.5</v>
      </c>
      <c r="P210" s="17" t="str">
        <f aca="false">IF(AND(N210&lt;&gt;"",O210&lt;&gt;"",I210&lt;&gt;"",I210&lt;&gt;0),N210/(O210*9.81*I210),"")</f>
        <v/>
      </c>
      <c r="Q210" s="19"/>
      <c r="R210" s="20"/>
    </row>
    <row r="211" customFormat="false" ht="15" hidden="false" customHeight="false" outlineLevel="0" collapsed="false">
      <c r="A211" s="11" t="n">
        <v>207</v>
      </c>
      <c r="B211" s="11" t="n">
        <v>214</v>
      </c>
      <c r="C211" s="11" t="n">
        <v>43</v>
      </c>
      <c r="D211" s="11" t="n">
        <v>4</v>
      </c>
      <c r="E211" s="11" t="n">
        <v>1</v>
      </c>
      <c r="F211" s="11" t="s">
        <v>59</v>
      </c>
      <c r="G211" s="11" t="n">
        <v>10</v>
      </c>
      <c r="H211" s="11" t="n">
        <v>0</v>
      </c>
      <c r="I211" s="16"/>
      <c r="J211" s="16"/>
      <c r="K211" s="17" t="str">
        <f aca="false">IF(AND(I211&lt;&gt;"",J211&lt;&gt;"",J211&lt;&gt;0),I211/J211,"")</f>
        <v/>
      </c>
      <c r="L211" s="16"/>
      <c r="M211" s="16"/>
      <c r="N211" s="16"/>
      <c r="O211" s="16" t="n">
        <v>1.5</v>
      </c>
      <c r="P211" s="17" t="str">
        <f aca="false">IF(AND(N211&lt;&gt;"",O211&lt;&gt;"",I211&lt;&gt;"",I211&lt;&gt;0),N211/(O211*9.81*I211),"")</f>
        <v/>
      </c>
      <c r="Q211" s="16"/>
      <c r="R211" s="18"/>
    </row>
    <row r="212" customFormat="false" ht="15" hidden="false" customHeight="false" outlineLevel="0" collapsed="false">
      <c r="A212" s="13" t="n">
        <v>208</v>
      </c>
      <c r="B212" s="13" t="n">
        <v>338</v>
      </c>
      <c r="C212" s="13" t="n">
        <v>68</v>
      </c>
      <c r="D212" s="13" t="n">
        <v>3</v>
      </c>
      <c r="E212" s="13" t="n">
        <v>1.5</v>
      </c>
      <c r="F212" s="13" t="s">
        <v>59</v>
      </c>
      <c r="G212" s="13" t="n">
        <v>5</v>
      </c>
      <c r="H212" s="13" t="n">
        <v>10</v>
      </c>
      <c r="I212" s="19"/>
      <c r="J212" s="19"/>
      <c r="K212" s="17" t="str">
        <f aca="false">IF(AND(I212&lt;&gt;"",J212&lt;&gt;"",J212&lt;&gt;0),I212/J212,"")</f>
        <v/>
      </c>
      <c r="L212" s="19"/>
      <c r="M212" s="19"/>
      <c r="N212" s="19"/>
      <c r="O212" s="19" t="n">
        <v>1.5</v>
      </c>
      <c r="P212" s="17" t="str">
        <f aca="false">IF(AND(N212&lt;&gt;"",O212&lt;&gt;"",I212&lt;&gt;"",I212&lt;&gt;0),N212/(O212*9.81*I212),"")</f>
        <v/>
      </c>
      <c r="Q212" s="19"/>
      <c r="R212" s="20"/>
    </row>
    <row r="213" customFormat="false" ht="15" hidden="false" customHeight="false" outlineLevel="0" collapsed="false">
      <c r="A213" s="11" t="n">
        <v>209</v>
      </c>
      <c r="B213" s="11" t="n">
        <v>359</v>
      </c>
      <c r="C213" s="11" t="n">
        <v>72</v>
      </c>
      <c r="D213" s="11" t="n">
        <v>4</v>
      </c>
      <c r="E213" s="11" t="n">
        <v>1.5</v>
      </c>
      <c r="F213" s="11" t="s">
        <v>59</v>
      </c>
      <c r="G213" s="11" t="n">
        <v>10</v>
      </c>
      <c r="H213" s="11" t="n">
        <v>20</v>
      </c>
      <c r="I213" s="16"/>
      <c r="J213" s="16"/>
      <c r="K213" s="17" t="str">
        <f aca="false">IF(AND(I213&lt;&gt;"",J213&lt;&gt;"",J213&lt;&gt;0),I213/J213,"")</f>
        <v/>
      </c>
      <c r="L213" s="16"/>
      <c r="M213" s="16"/>
      <c r="N213" s="16"/>
      <c r="O213" s="16" t="n">
        <v>1.5</v>
      </c>
      <c r="P213" s="17" t="str">
        <f aca="false">IF(AND(N213&lt;&gt;"",O213&lt;&gt;"",I213&lt;&gt;"",I213&lt;&gt;0),N213/(O213*9.81*I213),"")</f>
        <v/>
      </c>
      <c r="Q213" s="16"/>
      <c r="R213" s="18"/>
    </row>
    <row r="214" customFormat="false" ht="15" hidden="false" customHeight="false" outlineLevel="0" collapsed="false">
      <c r="A214" s="13" t="n">
        <v>210</v>
      </c>
      <c r="B214" s="13" t="n">
        <v>409</v>
      </c>
      <c r="C214" s="13" t="n">
        <v>82</v>
      </c>
      <c r="D214" s="13" t="n">
        <v>4</v>
      </c>
      <c r="E214" s="13" t="n">
        <v>2</v>
      </c>
      <c r="F214" s="13" t="s">
        <v>57</v>
      </c>
      <c r="G214" s="13" t="n">
        <v>2</v>
      </c>
      <c r="H214" s="13" t="n">
        <v>0</v>
      </c>
      <c r="I214" s="19"/>
      <c r="J214" s="19"/>
      <c r="K214" s="17" t="str">
        <f aca="false">IF(AND(I214&lt;&gt;"",J214&lt;&gt;"",J214&lt;&gt;0),I214/J214,"")</f>
        <v/>
      </c>
      <c r="L214" s="19"/>
      <c r="M214" s="19"/>
      <c r="N214" s="19"/>
      <c r="O214" s="19" t="n">
        <v>1.5</v>
      </c>
      <c r="P214" s="17" t="str">
        <f aca="false">IF(AND(N214&lt;&gt;"",O214&lt;&gt;"",I214&lt;&gt;"",I214&lt;&gt;0),N214/(O214*9.81*I214),"")</f>
        <v/>
      </c>
      <c r="Q214" s="19"/>
      <c r="R214" s="20"/>
    </row>
    <row r="215" customFormat="false" ht="15" hidden="false" customHeight="false" outlineLevel="0" collapsed="false">
      <c r="A215" s="11" t="n">
        <v>211</v>
      </c>
      <c r="B215" s="11" t="n">
        <v>342</v>
      </c>
      <c r="C215" s="11" t="n">
        <v>69</v>
      </c>
      <c r="D215" s="11" t="n">
        <v>2</v>
      </c>
      <c r="E215" s="11" t="n">
        <v>1.5</v>
      </c>
      <c r="F215" s="11" t="s">
        <v>59</v>
      </c>
      <c r="G215" s="11" t="n">
        <v>5</v>
      </c>
      <c r="H215" s="11" t="n">
        <v>20</v>
      </c>
      <c r="I215" s="16"/>
      <c r="J215" s="16"/>
      <c r="K215" s="17" t="str">
        <f aca="false">IF(AND(I215&lt;&gt;"",J215&lt;&gt;"",J215&lt;&gt;0),I215/J215,"")</f>
        <v/>
      </c>
      <c r="L215" s="16"/>
      <c r="M215" s="16"/>
      <c r="N215" s="16"/>
      <c r="O215" s="16" t="n">
        <v>1.5</v>
      </c>
      <c r="P215" s="17" t="str">
        <f aca="false">IF(AND(N215&lt;&gt;"",O215&lt;&gt;"",I215&lt;&gt;"",I215&lt;&gt;0),N215/(O215*9.81*I215),"")</f>
        <v/>
      </c>
      <c r="Q215" s="16"/>
      <c r="R215" s="18"/>
    </row>
    <row r="216" customFormat="false" ht="15" hidden="false" customHeight="false" outlineLevel="0" collapsed="false">
      <c r="A216" s="13" t="n">
        <v>212</v>
      </c>
      <c r="B216" s="13" t="n">
        <v>150</v>
      </c>
      <c r="C216" s="13" t="n">
        <v>30</v>
      </c>
      <c r="D216" s="13" t="n">
        <v>5</v>
      </c>
      <c r="E216" s="13" t="n">
        <v>1</v>
      </c>
      <c r="F216" s="13" t="s">
        <v>57</v>
      </c>
      <c r="G216" s="13" t="n">
        <v>2</v>
      </c>
      <c r="H216" s="13" t="n">
        <v>20</v>
      </c>
      <c r="I216" s="19"/>
      <c r="J216" s="19"/>
      <c r="K216" s="17" t="str">
        <f aca="false">IF(AND(I216&lt;&gt;"",J216&lt;&gt;"",J216&lt;&gt;0),I216/J216,"")</f>
        <v/>
      </c>
      <c r="L216" s="19"/>
      <c r="M216" s="19"/>
      <c r="N216" s="19"/>
      <c r="O216" s="19" t="n">
        <v>1.5</v>
      </c>
      <c r="P216" s="17" t="str">
        <f aca="false">IF(AND(N216&lt;&gt;"",O216&lt;&gt;"",I216&lt;&gt;"",I216&lt;&gt;0),N216/(O216*9.81*I216),"")</f>
        <v/>
      </c>
      <c r="Q216" s="19"/>
      <c r="R216" s="20"/>
    </row>
    <row r="217" customFormat="false" ht="15" hidden="false" customHeight="false" outlineLevel="0" collapsed="false">
      <c r="A217" s="11" t="n">
        <v>213</v>
      </c>
      <c r="B217" s="11" t="n">
        <v>13</v>
      </c>
      <c r="C217" s="11" t="n">
        <v>3</v>
      </c>
      <c r="D217" s="11" t="n">
        <v>3</v>
      </c>
      <c r="E217" s="11" t="n">
        <v>0.5</v>
      </c>
      <c r="F217" s="11" t="s">
        <v>57</v>
      </c>
      <c r="G217" s="11" t="n">
        <v>2</v>
      </c>
      <c r="H217" s="11" t="n">
        <v>20</v>
      </c>
      <c r="I217" s="16"/>
      <c r="J217" s="16"/>
      <c r="K217" s="17" t="str">
        <f aca="false">IF(AND(I217&lt;&gt;"",J217&lt;&gt;"",J217&lt;&gt;0),I217/J217,"")</f>
        <v/>
      </c>
      <c r="L217" s="16"/>
      <c r="M217" s="16"/>
      <c r="N217" s="16"/>
      <c r="O217" s="16" t="n">
        <v>1.5</v>
      </c>
      <c r="P217" s="17" t="str">
        <f aca="false">IF(AND(N217&lt;&gt;"",O217&lt;&gt;"",I217&lt;&gt;"",I217&lt;&gt;0),N217/(O217*9.81*I217),"")</f>
        <v/>
      </c>
      <c r="Q217" s="16"/>
      <c r="R217" s="18"/>
    </row>
    <row r="218" customFormat="false" ht="15" hidden="false" customHeight="false" outlineLevel="0" collapsed="false">
      <c r="A218" s="13" t="n">
        <v>214</v>
      </c>
      <c r="B218" s="13" t="n">
        <v>419</v>
      </c>
      <c r="C218" s="13" t="n">
        <v>84</v>
      </c>
      <c r="D218" s="13" t="n">
        <v>4</v>
      </c>
      <c r="E218" s="13" t="n">
        <v>2</v>
      </c>
      <c r="F218" s="13" t="s">
        <v>57</v>
      </c>
      <c r="G218" s="13" t="n">
        <v>2</v>
      </c>
      <c r="H218" s="13" t="n">
        <v>20</v>
      </c>
      <c r="I218" s="19"/>
      <c r="J218" s="19"/>
      <c r="K218" s="17" t="str">
        <f aca="false">IF(AND(I218&lt;&gt;"",J218&lt;&gt;"",J218&lt;&gt;0),I218/J218,"")</f>
        <v/>
      </c>
      <c r="L218" s="19"/>
      <c r="M218" s="19"/>
      <c r="N218" s="19"/>
      <c r="O218" s="19" t="n">
        <v>1.5</v>
      </c>
      <c r="P218" s="17" t="str">
        <f aca="false">IF(AND(N218&lt;&gt;"",O218&lt;&gt;"",I218&lt;&gt;"",I218&lt;&gt;0),N218/(O218*9.81*I218),"")</f>
        <v/>
      </c>
      <c r="Q218" s="19"/>
      <c r="R218" s="20"/>
    </row>
    <row r="219" customFormat="false" ht="15" hidden="false" customHeight="false" outlineLevel="0" collapsed="false">
      <c r="A219" s="11" t="n">
        <v>215</v>
      </c>
      <c r="B219" s="11" t="n">
        <v>369</v>
      </c>
      <c r="C219" s="11" t="n">
        <v>74</v>
      </c>
      <c r="D219" s="11" t="n">
        <v>4</v>
      </c>
      <c r="E219" s="11" t="n">
        <v>1.5</v>
      </c>
      <c r="F219" s="11" t="s">
        <v>61</v>
      </c>
      <c r="G219" s="11" t="n">
        <v>2</v>
      </c>
      <c r="H219" s="11" t="n">
        <v>10</v>
      </c>
      <c r="I219" s="16"/>
      <c r="J219" s="16"/>
      <c r="K219" s="17" t="str">
        <f aca="false">IF(AND(I219&lt;&gt;"",J219&lt;&gt;"",J219&lt;&gt;0),I219/J219,"")</f>
        <v/>
      </c>
      <c r="L219" s="16"/>
      <c r="M219" s="16"/>
      <c r="N219" s="16"/>
      <c r="O219" s="16" t="n">
        <v>1.5</v>
      </c>
      <c r="P219" s="17" t="str">
        <f aca="false">IF(AND(N219&lt;&gt;"",O219&lt;&gt;"",I219&lt;&gt;"",I219&lt;&gt;0),N219/(O219*9.81*I219),"")</f>
        <v/>
      </c>
      <c r="Q219" s="16"/>
      <c r="R219" s="18"/>
    </row>
    <row r="220" customFormat="false" ht="15" hidden="false" customHeight="false" outlineLevel="0" collapsed="false">
      <c r="A220" s="13" t="n">
        <v>216</v>
      </c>
      <c r="B220" s="13" t="n">
        <v>319</v>
      </c>
      <c r="C220" s="13" t="n">
        <v>64</v>
      </c>
      <c r="D220" s="13" t="n">
        <v>4</v>
      </c>
      <c r="E220" s="13" t="n">
        <v>1.5</v>
      </c>
      <c r="F220" s="13" t="s">
        <v>59</v>
      </c>
      <c r="G220" s="13" t="n">
        <v>2</v>
      </c>
      <c r="H220" s="13" t="n">
        <v>0</v>
      </c>
      <c r="I220" s="19"/>
      <c r="J220" s="19"/>
      <c r="K220" s="17" t="str">
        <f aca="false">IF(AND(I220&lt;&gt;"",J220&lt;&gt;"",J220&lt;&gt;0),I220/J220,"")</f>
        <v/>
      </c>
      <c r="L220" s="19"/>
      <c r="M220" s="19"/>
      <c r="N220" s="19"/>
      <c r="O220" s="19" t="n">
        <v>1.5</v>
      </c>
      <c r="P220" s="17" t="str">
        <f aca="false">IF(AND(N220&lt;&gt;"",O220&lt;&gt;"",I220&lt;&gt;"",I220&lt;&gt;0),N220/(O220*9.81*I220),"")</f>
        <v/>
      </c>
      <c r="Q220" s="19"/>
      <c r="R220" s="20"/>
    </row>
    <row r="221" customFormat="false" ht="15" hidden="false" customHeight="false" outlineLevel="0" collapsed="false">
      <c r="A221" s="11" t="n">
        <v>217</v>
      </c>
      <c r="B221" s="11" t="n">
        <v>287</v>
      </c>
      <c r="C221" s="11" t="n">
        <v>58</v>
      </c>
      <c r="D221" s="11" t="n">
        <v>2</v>
      </c>
      <c r="E221" s="11" t="n">
        <v>1.5</v>
      </c>
      <c r="F221" s="11" t="s">
        <v>57</v>
      </c>
      <c r="G221" s="11" t="n">
        <v>5</v>
      </c>
      <c r="H221" s="11" t="n">
        <v>0</v>
      </c>
      <c r="I221" s="16"/>
      <c r="J221" s="16"/>
      <c r="K221" s="17" t="str">
        <f aca="false">IF(AND(I221&lt;&gt;"",J221&lt;&gt;"",J221&lt;&gt;0),I221/J221,"")</f>
        <v/>
      </c>
      <c r="L221" s="16"/>
      <c r="M221" s="16"/>
      <c r="N221" s="16"/>
      <c r="O221" s="16" t="n">
        <v>1.5</v>
      </c>
      <c r="P221" s="17" t="str">
        <f aca="false">IF(AND(N221&lt;&gt;"",O221&lt;&gt;"",I221&lt;&gt;"",I221&lt;&gt;0),N221/(O221*9.81*I221),"")</f>
        <v/>
      </c>
      <c r="Q221" s="16"/>
      <c r="R221" s="18"/>
    </row>
    <row r="222" customFormat="false" ht="15" hidden="false" customHeight="false" outlineLevel="0" collapsed="false">
      <c r="A222" s="13" t="n">
        <v>218</v>
      </c>
      <c r="B222" s="13" t="n">
        <v>446</v>
      </c>
      <c r="C222" s="13" t="n">
        <v>90</v>
      </c>
      <c r="D222" s="13" t="n">
        <v>1</v>
      </c>
      <c r="E222" s="13" t="n">
        <v>2</v>
      </c>
      <c r="F222" s="13" t="s">
        <v>57</v>
      </c>
      <c r="G222" s="13" t="n">
        <v>10</v>
      </c>
      <c r="H222" s="13" t="n">
        <v>20</v>
      </c>
      <c r="I222" s="19"/>
      <c r="J222" s="19"/>
      <c r="K222" s="17" t="str">
        <f aca="false">IF(AND(I222&lt;&gt;"",J222&lt;&gt;"",J222&lt;&gt;0),I222/J222,"")</f>
        <v/>
      </c>
      <c r="L222" s="19"/>
      <c r="M222" s="19"/>
      <c r="N222" s="19"/>
      <c r="O222" s="19" t="n">
        <v>1.5</v>
      </c>
      <c r="P222" s="17" t="str">
        <f aca="false">IF(AND(N222&lt;&gt;"",O222&lt;&gt;"",I222&lt;&gt;"",I222&lt;&gt;0),N222/(O222*9.81*I222),"")</f>
        <v/>
      </c>
      <c r="Q222" s="19"/>
      <c r="R222" s="20"/>
    </row>
    <row r="223" customFormat="false" ht="15" hidden="false" customHeight="false" outlineLevel="0" collapsed="false">
      <c r="A223" s="11" t="n">
        <v>219</v>
      </c>
      <c r="B223" s="11" t="n">
        <v>189</v>
      </c>
      <c r="C223" s="11" t="n">
        <v>38</v>
      </c>
      <c r="D223" s="11" t="n">
        <v>4</v>
      </c>
      <c r="E223" s="11" t="n">
        <v>1</v>
      </c>
      <c r="F223" s="11" t="s">
        <v>59</v>
      </c>
      <c r="G223" s="11" t="n">
        <v>2</v>
      </c>
      <c r="H223" s="11" t="n">
        <v>10</v>
      </c>
      <c r="I223" s="16"/>
      <c r="J223" s="16"/>
      <c r="K223" s="17" t="str">
        <f aca="false">IF(AND(I223&lt;&gt;"",J223&lt;&gt;"",J223&lt;&gt;0),I223/J223,"")</f>
        <v/>
      </c>
      <c r="L223" s="16"/>
      <c r="M223" s="16"/>
      <c r="N223" s="16"/>
      <c r="O223" s="16" t="n">
        <v>1.5</v>
      </c>
      <c r="P223" s="17" t="str">
        <f aca="false">IF(AND(N223&lt;&gt;"",O223&lt;&gt;"",I223&lt;&gt;"",I223&lt;&gt;0),N223/(O223*9.81*I223),"")</f>
        <v/>
      </c>
      <c r="Q223" s="16"/>
      <c r="R223" s="18"/>
    </row>
    <row r="224" customFormat="false" ht="15" hidden="false" customHeight="false" outlineLevel="0" collapsed="false">
      <c r="A224" s="13" t="n">
        <v>220</v>
      </c>
      <c r="B224" s="13" t="n">
        <v>477</v>
      </c>
      <c r="C224" s="13" t="n">
        <v>96</v>
      </c>
      <c r="D224" s="13" t="n">
        <v>2</v>
      </c>
      <c r="E224" s="13" t="n">
        <v>2</v>
      </c>
      <c r="F224" s="13" t="s">
        <v>59</v>
      </c>
      <c r="G224" s="13" t="n">
        <v>5</v>
      </c>
      <c r="H224" s="13" t="n">
        <v>20</v>
      </c>
      <c r="I224" s="19"/>
      <c r="J224" s="19"/>
      <c r="K224" s="17" t="str">
        <f aca="false">IF(AND(I224&lt;&gt;"",J224&lt;&gt;"",J224&lt;&gt;0),I224/J224,"")</f>
        <v/>
      </c>
      <c r="L224" s="19"/>
      <c r="M224" s="19"/>
      <c r="N224" s="19"/>
      <c r="O224" s="19" t="n">
        <v>1.5</v>
      </c>
      <c r="P224" s="17" t="str">
        <f aca="false">IF(AND(N224&lt;&gt;"",O224&lt;&gt;"",I224&lt;&gt;"",I224&lt;&gt;0),N224/(O224*9.81*I224),"")</f>
        <v/>
      </c>
      <c r="Q224" s="19"/>
      <c r="R224" s="20"/>
    </row>
    <row r="225" customFormat="false" ht="15" hidden="false" customHeight="false" outlineLevel="0" collapsed="false">
      <c r="A225" s="11" t="n">
        <v>221</v>
      </c>
      <c r="B225" s="11" t="n">
        <v>15</v>
      </c>
      <c r="C225" s="11" t="n">
        <v>3</v>
      </c>
      <c r="D225" s="11" t="n">
        <v>5</v>
      </c>
      <c r="E225" s="11" t="n">
        <v>0.5</v>
      </c>
      <c r="F225" s="11" t="s">
        <v>57</v>
      </c>
      <c r="G225" s="11" t="n">
        <v>2</v>
      </c>
      <c r="H225" s="11" t="n">
        <v>20</v>
      </c>
      <c r="I225" s="16"/>
      <c r="J225" s="16"/>
      <c r="K225" s="17" t="str">
        <f aca="false">IF(AND(I225&lt;&gt;"",J225&lt;&gt;"",J225&lt;&gt;0),I225/J225,"")</f>
        <v/>
      </c>
      <c r="L225" s="16"/>
      <c r="M225" s="16"/>
      <c r="N225" s="16"/>
      <c r="O225" s="16" t="n">
        <v>1.5</v>
      </c>
      <c r="P225" s="17" t="str">
        <f aca="false">IF(AND(N225&lt;&gt;"",O225&lt;&gt;"",I225&lt;&gt;"",I225&lt;&gt;0),N225/(O225*9.81*I225),"")</f>
        <v/>
      </c>
      <c r="Q225" s="16"/>
      <c r="R225" s="18"/>
    </row>
    <row r="226" customFormat="false" ht="15" hidden="false" customHeight="false" outlineLevel="0" collapsed="false">
      <c r="A226" s="13" t="n">
        <v>222</v>
      </c>
      <c r="B226" s="13" t="n">
        <v>441</v>
      </c>
      <c r="C226" s="13" t="n">
        <v>89</v>
      </c>
      <c r="D226" s="13" t="n">
        <v>1</v>
      </c>
      <c r="E226" s="13" t="n">
        <v>2</v>
      </c>
      <c r="F226" s="13" t="s">
        <v>57</v>
      </c>
      <c r="G226" s="13" t="n">
        <v>10</v>
      </c>
      <c r="H226" s="13" t="n">
        <v>10</v>
      </c>
      <c r="I226" s="19"/>
      <c r="J226" s="19"/>
      <c r="K226" s="17" t="str">
        <f aca="false">IF(AND(I226&lt;&gt;"",J226&lt;&gt;"",J226&lt;&gt;0),I226/J226,"")</f>
        <v/>
      </c>
      <c r="L226" s="19"/>
      <c r="M226" s="19"/>
      <c r="N226" s="19"/>
      <c r="O226" s="19" t="n">
        <v>1.5</v>
      </c>
      <c r="P226" s="17" t="str">
        <f aca="false">IF(AND(N226&lt;&gt;"",O226&lt;&gt;"",I226&lt;&gt;"",I226&lt;&gt;0),N226/(O226*9.81*I226),"")</f>
        <v/>
      </c>
      <c r="Q226" s="19"/>
      <c r="R226" s="20"/>
    </row>
    <row r="227" customFormat="false" ht="15" hidden="false" customHeight="false" outlineLevel="0" collapsed="false">
      <c r="A227" s="11" t="n">
        <v>223</v>
      </c>
      <c r="B227" s="11" t="n">
        <v>76</v>
      </c>
      <c r="C227" s="11" t="n">
        <v>16</v>
      </c>
      <c r="D227" s="11" t="n">
        <v>1</v>
      </c>
      <c r="E227" s="11" t="n">
        <v>0.5</v>
      </c>
      <c r="F227" s="11" t="s">
        <v>59</v>
      </c>
      <c r="G227" s="11" t="n">
        <v>10</v>
      </c>
      <c r="H227" s="11" t="n">
        <v>0</v>
      </c>
      <c r="I227" s="16"/>
      <c r="J227" s="16"/>
      <c r="K227" s="17" t="str">
        <f aca="false">IF(AND(I227&lt;&gt;"",J227&lt;&gt;"",J227&lt;&gt;0),I227/J227,"")</f>
        <v/>
      </c>
      <c r="L227" s="16"/>
      <c r="M227" s="16"/>
      <c r="N227" s="16"/>
      <c r="O227" s="16" t="n">
        <v>1.5</v>
      </c>
      <c r="P227" s="17" t="str">
        <f aca="false">IF(AND(N227&lt;&gt;"",O227&lt;&gt;"",I227&lt;&gt;"",I227&lt;&gt;0),N227/(O227*9.81*I227),"")</f>
        <v/>
      </c>
      <c r="Q227" s="16"/>
      <c r="R227" s="18"/>
    </row>
    <row r="228" customFormat="false" ht="15" hidden="false" customHeight="false" outlineLevel="0" collapsed="false">
      <c r="A228" s="13" t="n">
        <v>224</v>
      </c>
      <c r="B228" s="13" t="n">
        <v>308</v>
      </c>
      <c r="C228" s="13" t="n">
        <v>62</v>
      </c>
      <c r="D228" s="13" t="n">
        <v>3</v>
      </c>
      <c r="E228" s="13" t="n">
        <v>1.5</v>
      </c>
      <c r="F228" s="13" t="s">
        <v>57</v>
      </c>
      <c r="G228" s="13" t="n">
        <v>10</v>
      </c>
      <c r="H228" s="13" t="n">
        <v>10</v>
      </c>
      <c r="I228" s="19"/>
      <c r="J228" s="19"/>
      <c r="K228" s="17" t="str">
        <f aca="false">IF(AND(I228&lt;&gt;"",J228&lt;&gt;"",J228&lt;&gt;0),I228/J228,"")</f>
        <v/>
      </c>
      <c r="L228" s="19"/>
      <c r="M228" s="19"/>
      <c r="N228" s="19"/>
      <c r="O228" s="19" t="n">
        <v>1.5</v>
      </c>
      <c r="P228" s="17" t="str">
        <f aca="false">IF(AND(N228&lt;&gt;"",O228&lt;&gt;"",I228&lt;&gt;"",I228&lt;&gt;0),N228/(O228*9.81*I228),"")</f>
        <v/>
      </c>
      <c r="Q228" s="19"/>
      <c r="R228" s="20"/>
    </row>
    <row r="229" customFormat="false" ht="15" hidden="false" customHeight="false" outlineLevel="0" collapsed="false">
      <c r="A229" s="11" t="n">
        <v>225</v>
      </c>
      <c r="B229" s="11" t="n">
        <v>40</v>
      </c>
      <c r="C229" s="11" t="n">
        <v>8</v>
      </c>
      <c r="D229" s="11" t="n">
        <v>5</v>
      </c>
      <c r="E229" s="11" t="n">
        <v>0.5</v>
      </c>
      <c r="F229" s="11" t="s">
        <v>57</v>
      </c>
      <c r="G229" s="11" t="n">
        <v>10</v>
      </c>
      <c r="H229" s="11" t="n">
        <v>10</v>
      </c>
      <c r="I229" s="16"/>
      <c r="J229" s="16"/>
      <c r="K229" s="17" t="str">
        <f aca="false">IF(AND(I229&lt;&gt;"",J229&lt;&gt;"",J229&lt;&gt;0),I229/J229,"")</f>
        <v/>
      </c>
      <c r="L229" s="16"/>
      <c r="M229" s="16"/>
      <c r="N229" s="16"/>
      <c r="O229" s="16" t="n">
        <v>1.5</v>
      </c>
      <c r="P229" s="17" t="str">
        <f aca="false">IF(AND(N229&lt;&gt;"",O229&lt;&gt;"",I229&lt;&gt;"",I229&lt;&gt;0),N229/(O229*9.81*I229),"")</f>
        <v/>
      </c>
      <c r="Q229" s="16"/>
      <c r="R229" s="18"/>
    </row>
    <row r="230" customFormat="false" ht="15" hidden="false" customHeight="false" outlineLevel="0" collapsed="false">
      <c r="A230" s="13" t="n">
        <v>226</v>
      </c>
      <c r="B230" s="13" t="n">
        <v>293</v>
      </c>
      <c r="C230" s="13" t="n">
        <v>59</v>
      </c>
      <c r="D230" s="13" t="n">
        <v>3</v>
      </c>
      <c r="E230" s="13" t="n">
        <v>1.5</v>
      </c>
      <c r="F230" s="13" t="s">
        <v>57</v>
      </c>
      <c r="G230" s="13" t="n">
        <v>5</v>
      </c>
      <c r="H230" s="13" t="n">
        <v>10</v>
      </c>
      <c r="I230" s="19"/>
      <c r="J230" s="19"/>
      <c r="K230" s="17" t="str">
        <f aca="false">IF(AND(I230&lt;&gt;"",J230&lt;&gt;"",J230&lt;&gt;0),I230/J230,"")</f>
        <v/>
      </c>
      <c r="L230" s="19"/>
      <c r="M230" s="19"/>
      <c r="N230" s="19"/>
      <c r="O230" s="19" t="n">
        <v>1.5</v>
      </c>
      <c r="P230" s="17" t="str">
        <f aca="false">IF(AND(N230&lt;&gt;"",O230&lt;&gt;"",I230&lt;&gt;"",I230&lt;&gt;0),N230/(O230*9.81*I230),"")</f>
        <v/>
      </c>
      <c r="Q230" s="19"/>
      <c r="R230" s="20"/>
    </row>
    <row r="231" customFormat="false" ht="15" hidden="false" customHeight="false" outlineLevel="0" collapsed="false">
      <c r="A231" s="11" t="n">
        <v>227</v>
      </c>
      <c r="B231" s="11" t="n">
        <v>507</v>
      </c>
      <c r="C231" s="11" t="n">
        <v>102</v>
      </c>
      <c r="D231" s="11" t="n">
        <v>2</v>
      </c>
      <c r="E231" s="11" t="n">
        <v>2</v>
      </c>
      <c r="F231" s="11" t="s">
        <v>61</v>
      </c>
      <c r="G231" s="11" t="n">
        <v>2</v>
      </c>
      <c r="H231" s="11" t="n">
        <v>20</v>
      </c>
      <c r="I231" s="16"/>
      <c r="J231" s="16"/>
      <c r="K231" s="17" t="str">
        <f aca="false">IF(AND(I231&lt;&gt;"",J231&lt;&gt;"",J231&lt;&gt;0),I231/J231,"")</f>
        <v/>
      </c>
      <c r="L231" s="16"/>
      <c r="M231" s="16"/>
      <c r="N231" s="16"/>
      <c r="O231" s="16" t="n">
        <v>1.5</v>
      </c>
      <c r="P231" s="17" t="str">
        <f aca="false">IF(AND(N231&lt;&gt;"",O231&lt;&gt;"",I231&lt;&gt;"",I231&lt;&gt;0),N231/(O231*9.81*I231),"")</f>
        <v/>
      </c>
      <c r="Q231" s="16"/>
      <c r="R231" s="18"/>
    </row>
    <row r="232" customFormat="false" ht="15" hidden="false" customHeight="false" outlineLevel="0" collapsed="false">
      <c r="A232" s="13" t="n">
        <v>228</v>
      </c>
      <c r="B232" s="13" t="n">
        <v>298</v>
      </c>
      <c r="C232" s="13" t="n">
        <v>60</v>
      </c>
      <c r="D232" s="13" t="n">
        <v>3</v>
      </c>
      <c r="E232" s="13" t="n">
        <v>1.5</v>
      </c>
      <c r="F232" s="13" t="s">
        <v>57</v>
      </c>
      <c r="G232" s="13" t="n">
        <v>5</v>
      </c>
      <c r="H232" s="13" t="n">
        <v>20</v>
      </c>
      <c r="I232" s="19"/>
      <c r="J232" s="19"/>
      <c r="K232" s="17" t="str">
        <f aca="false">IF(AND(I232&lt;&gt;"",J232&lt;&gt;"",J232&lt;&gt;0),I232/J232,"")</f>
        <v/>
      </c>
      <c r="L232" s="19"/>
      <c r="M232" s="19"/>
      <c r="N232" s="19"/>
      <c r="O232" s="19" t="n">
        <v>1.5</v>
      </c>
      <c r="P232" s="17" t="str">
        <f aca="false">IF(AND(N232&lt;&gt;"",O232&lt;&gt;"",I232&lt;&gt;"",I232&lt;&gt;0),N232/(O232*9.81*I232),"")</f>
        <v/>
      </c>
      <c r="Q232" s="19"/>
      <c r="R232" s="20"/>
    </row>
    <row r="233" customFormat="false" ht="15" hidden="false" customHeight="false" outlineLevel="0" collapsed="false">
      <c r="A233" s="11" t="n">
        <v>229</v>
      </c>
      <c r="B233" s="11" t="n">
        <v>485</v>
      </c>
      <c r="C233" s="11" t="n">
        <v>97</v>
      </c>
      <c r="D233" s="11" t="n">
        <v>5</v>
      </c>
      <c r="E233" s="11" t="n">
        <v>2</v>
      </c>
      <c r="F233" s="11" t="s">
        <v>59</v>
      </c>
      <c r="G233" s="11" t="n">
        <v>10</v>
      </c>
      <c r="H233" s="11" t="n">
        <v>0</v>
      </c>
      <c r="I233" s="16"/>
      <c r="J233" s="16"/>
      <c r="K233" s="17" t="str">
        <f aca="false">IF(AND(I233&lt;&gt;"",J233&lt;&gt;"",J233&lt;&gt;0),I233/J233,"")</f>
        <v/>
      </c>
      <c r="L233" s="16"/>
      <c r="M233" s="16"/>
      <c r="N233" s="16"/>
      <c r="O233" s="16" t="n">
        <v>1.5</v>
      </c>
      <c r="P233" s="17" t="str">
        <f aca="false">IF(AND(N233&lt;&gt;"",O233&lt;&gt;"",I233&lt;&gt;"",I233&lt;&gt;0),N233/(O233*9.81*I233),"")</f>
        <v/>
      </c>
      <c r="Q233" s="16"/>
      <c r="R233" s="18"/>
    </row>
    <row r="234" customFormat="false" ht="15" hidden="false" customHeight="false" outlineLevel="0" collapsed="false">
      <c r="A234" s="13" t="n">
        <v>230</v>
      </c>
      <c r="B234" s="13" t="n">
        <v>499</v>
      </c>
      <c r="C234" s="13" t="n">
        <v>100</v>
      </c>
      <c r="D234" s="13" t="n">
        <v>4</v>
      </c>
      <c r="E234" s="13" t="n">
        <v>2</v>
      </c>
      <c r="F234" s="13" t="s">
        <v>61</v>
      </c>
      <c r="G234" s="13" t="n">
        <v>2</v>
      </c>
      <c r="H234" s="13" t="n">
        <v>0</v>
      </c>
      <c r="I234" s="19"/>
      <c r="J234" s="19"/>
      <c r="K234" s="17" t="str">
        <f aca="false">IF(AND(I234&lt;&gt;"",J234&lt;&gt;"",J234&lt;&gt;0),I234/J234,"")</f>
        <v/>
      </c>
      <c r="L234" s="19"/>
      <c r="M234" s="19"/>
      <c r="N234" s="19"/>
      <c r="O234" s="19" t="n">
        <v>1.5</v>
      </c>
      <c r="P234" s="17" t="str">
        <f aca="false">IF(AND(N234&lt;&gt;"",O234&lt;&gt;"",I234&lt;&gt;"",I234&lt;&gt;0),N234/(O234*9.81*I234),"")</f>
        <v/>
      </c>
      <c r="Q234" s="19"/>
      <c r="R234" s="20"/>
    </row>
    <row r="235" customFormat="false" ht="15" hidden="false" customHeight="false" outlineLevel="0" collapsed="false">
      <c r="A235" s="11" t="n">
        <v>231</v>
      </c>
      <c r="B235" s="11" t="n">
        <v>188</v>
      </c>
      <c r="C235" s="11" t="n">
        <v>38</v>
      </c>
      <c r="D235" s="11" t="n">
        <v>3</v>
      </c>
      <c r="E235" s="11" t="n">
        <v>1</v>
      </c>
      <c r="F235" s="11" t="s">
        <v>59</v>
      </c>
      <c r="G235" s="11" t="n">
        <v>2</v>
      </c>
      <c r="H235" s="11" t="n">
        <v>10</v>
      </c>
      <c r="I235" s="16"/>
      <c r="J235" s="16"/>
      <c r="K235" s="17" t="str">
        <f aca="false">IF(AND(I235&lt;&gt;"",J235&lt;&gt;"",J235&lt;&gt;0),I235/J235,"")</f>
        <v/>
      </c>
      <c r="L235" s="16"/>
      <c r="M235" s="16"/>
      <c r="N235" s="16"/>
      <c r="O235" s="16" t="n">
        <v>1.5</v>
      </c>
      <c r="P235" s="17" t="str">
        <f aca="false">IF(AND(N235&lt;&gt;"",O235&lt;&gt;"",I235&lt;&gt;"",I235&lt;&gt;0),N235/(O235*9.81*I235),"")</f>
        <v/>
      </c>
      <c r="Q235" s="16"/>
      <c r="R235" s="18"/>
    </row>
    <row r="236" customFormat="false" ht="15" hidden="false" customHeight="false" outlineLevel="0" collapsed="false">
      <c r="A236" s="13" t="n">
        <v>232</v>
      </c>
      <c r="B236" s="13" t="n">
        <v>179</v>
      </c>
      <c r="C236" s="13" t="n">
        <v>36</v>
      </c>
      <c r="D236" s="13" t="n">
        <v>4</v>
      </c>
      <c r="E236" s="13" t="n">
        <v>1</v>
      </c>
      <c r="F236" s="13" t="s">
        <v>57</v>
      </c>
      <c r="G236" s="13" t="n">
        <v>10</v>
      </c>
      <c r="H236" s="13" t="n">
        <v>20</v>
      </c>
      <c r="I236" s="19"/>
      <c r="J236" s="19"/>
      <c r="K236" s="17" t="str">
        <f aca="false">IF(AND(I236&lt;&gt;"",J236&lt;&gt;"",J236&lt;&gt;0),I236/J236,"")</f>
        <v/>
      </c>
      <c r="L236" s="19"/>
      <c r="M236" s="19"/>
      <c r="N236" s="19"/>
      <c r="O236" s="19" t="n">
        <v>1.5</v>
      </c>
      <c r="P236" s="17" t="str">
        <f aca="false">IF(AND(N236&lt;&gt;"",O236&lt;&gt;"",I236&lt;&gt;"",I236&lt;&gt;0),N236/(O236*9.81*I236),"")</f>
        <v/>
      </c>
      <c r="Q236" s="19"/>
      <c r="R236" s="20"/>
    </row>
    <row r="237" customFormat="false" ht="15" hidden="false" customHeight="false" outlineLevel="0" collapsed="false">
      <c r="A237" s="11" t="n">
        <v>233</v>
      </c>
      <c r="B237" s="11" t="n">
        <v>324</v>
      </c>
      <c r="C237" s="11" t="n">
        <v>65</v>
      </c>
      <c r="D237" s="11" t="n">
        <v>4</v>
      </c>
      <c r="E237" s="11" t="n">
        <v>1.5</v>
      </c>
      <c r="F237" s="11" t="s">
        <v>59</v>
      </c>
      <c r="G237" s="11" t="n">
        <v>2</v>
      </c>
      <c r="H237" s="11" t="n">
        <v>10</v>
      </c>
      <c r="I237" s="16"/>
      <c r="J237" s="16"/>
      <c r="K237" s="17" t="str">
        <f aca="false">IF(AND(I237&lt;&gt;"",J237&lt;&gt;"",J237&lt;&gt;0),I237/J237,"")</f>
        <v/>
      </c>
      <c r="L237" s="16"/>
      <c r="M237" s="16"/>
      <c r="N237" s="16"/>
      <c r="O237" s="16" t="n">
        <v>1.5</v>
      </c>
      <c r="P237" s="17" t="str">
        <f aca="false">IF(AND(N237&lt;&gt;"",O237&lt;&gt;"",I237&lt;&gt;"",I237&lt;&gt;0),N237/(O237*9.81*I237),"")</f>
        <v/>
      </c>
      <c r="Q237" s="16"/>
      <c r="R237" s="18"/>
    </row>
    <row r="238" customFormat="false" ht="15" hidden="false" customHeight="false" outlineLevel="0" collapsed="false">
      <c r="A238" s="13" t="n">
        <v>234</v>
      </c>
      <c r="B238" s="13" t="n">
        <v>417</v>
      </c>
      <c r="C238" s="13" t="n">
        <v>84</v>
      </c>
      <c r="D238" s="13" t="n">
        <v>2</v>
      </c>
      <c r="E238" s="13" t="n">
        <v>2</v>
      </c>
      <c r="F238" s="13" t="s">
        <v>57</v>
      </c>
      <c r="G238" s="13" t="n">
        <v>2</v>
      </c>
      <c r="H238" s="13" t="n">
        <v>20</v>
      </c>
      <c r="I238" s="19"/>
      <c r="J238" s="19"/>
      <c r="K238" s="17" t="str">
        <f aca="false">IF(AND(I238&lt;&gt;"",J238&lt;&gt;"",J238&lt;&gt;0),I238/J238,"")</f>
        <v/>
      </c>
      <c r="L238" s="19"/>
      <c r="M238" s="19"/>
      <c r="N238" s="19"/>
      <c r="O238" s="19" t="n">
        <v>1.5</v>
      </c>
      <c r="P238" s="17" t="str">
        <f aca="false">IF(AND(N238&lt;&gt;"",O238&lt;&gt;"",I238&lt;&gt;"",I238&lt;&gt;0),N238/(O238*9.81*I238),"")</f>
        <v/>
      </c>
      <c r="Q238" s="19"/>
      <c r="R238" s="20"/>
    </row>
    <row r="239" customFormat="false" ht="15" hidden="false" customHeight="false" outlineLevel="0" collapsed="false">
      <c r="A239" s="11" t="n">
        <v>235</v>
      </c>
      <c r="B239" s="11" t="n">
        <v>479</v>
      </c>
      <c r="C239" s="11" t="n">
        <v>96</v>
      </c>
      <c r="D239" s="11" t="n">
        <v>4</v>
      </c>
      <c r="E239" s="11" t="n">
        <v>2</v>
      </c>
      <c r="F239" s="11" t="s">
        <v>59</v>
      </c>
      <c r="G239" s="11" t="n">
        <v>5</v>
      </c>
      <c r="H239" s="11" t="n">
        <v>20</v>
      </c>
      <c r="I239" s="16"/>
      <c r="J239" s="16"/>
      <c r="K239" s="17" t="str">
        <f aca="false">IF(AND(I239&lt;&gt;"",J239&lt;&gt;"",J239&lt;&gt;0),I239/J239,"")</f>
        <v/>
      </c>
      <c r="L239" s="16"/>
      <c r="M239" s="16"/>
      <c r="N239" s="16"/>
      <c r="O239" s="16" t="n">
        <v>1.5</v>
      </c>
      <c r="P239" s="17" t="str">
        <f aca="false">IF(AND(N239&lt;&gt;"",O239&lt;&gt;"",I239&lt;&gt;"",I239&lt;&gt;0),N239/(O239*9.81*I239),"")</f>
        <v/>
      </c>
      <c r="Q239" s="16"/>
      <c r="R239" s="18"/>
    </row>
    <row r="240" customFormat="false" ht="15" hidden="false" customHeight="false" outlineLevel="0" collapsed="false">
      <c r="A240" s="13" t="n">
        <v>236</v>
      </c>
      <c r="B240" s="13" t="n">
        <v>263</v>
      </c>
      <c r="C240" s="13" t="n">
        <v>53</v>
      </c>
      <c r="D240" s="13" t="n">
        <v>3</v>
      </c>
      <c r="E240" s="13" t="n">
        <v>1</v>
      </c>
      <c r="F240" s="13" t="s">
        <v>61</v>
      </c>
      <c r="G240" s="13" t="n">
        <v>10</v>
      </c>
      <c r="H240" s="13" t="n">
        <v>10</v>
      </c>
      <c r="I240" s="19"/>
      <c r="J240" s="19"/>
      <c r="K240" s="17" t="str">
        <f aca="false">IF(AND(I240&lt;&gt;"",J240&lt;&gt;"",J240&lt;&gt;0),I240/J240,"")</f>
        <v/>
      </c>
      <c r="L240" s="19"/>
      <c r="M240" s="19"/>
      <c r="N240" s="19"/>
      <c r="O240" s="19" t="n">
        <v>1.5</v>
      </c>
      <c r="P240" s="17" t="str">
        <f aca="false">IF(AND(N240&lt;&gt;"",O240&lt;&gt;"",I240&lt;&gt;"",I240&lt;&gt;0),N240/(O240*9.81*I240),"")</f>
        <v/>
      </c>
      <c r="Q240" s="19"/>
      <c r="R240" s="20"/>
    </row>
    <row r="241" customFormat="false" ht="15" hidden="false" customHeight="false" outlineLevel="0" collapsed="false">
      <c r="A241" s="11" t="n">
        <v>237</v>
      </c>
      <c r="B241" s="11" t="n">
        <v>201</v>
      </c>
      <c r="C241" s="11" t="n">
        <v>41</v>
      </c>
      <c r="D241" s="11" t="n">
        <v>1</v>
      </c>
      <c r="E241" s="11" t="n">
        <v>1</v>
      </c>
      <c r="F241" s="11" t="s">
        <v>59</v>
      </c>
      <c r="G241" s="11" t="n">
        <v>5</v>
      </c>
      <c r="H241" s="11" t="n">
        <v>10</v>
      </c>
      <c r="I241" s="16"/>
      <c r="J241" s="16"/>
      <c r="K241" s="17" t="str">
        <f aca="false">IF(AND(I241&lt;&gt;"",J241&lt;&gt;"",J241&lt;&gt;0),I241/J241,"")</f>
        <v/>
      </c>
      <c r="L241" s="16"/>
      <c r="M241" s="16"/>
      <c r="N241" s="16"/>
      <c r="O241" s="16" t="n">
        <v>1.5</v>
      </c>
      <c r="P241" s="17" t="str">
        <f aca="false">IF(AND(N241&lt;&gt;"",O241&lt;&gt;"",I241&lt;&gt;"",I241&lt;&gt;0),N241/(O241*9.81*I241),"")</f>
        <v/>
      </c>
      <c r="Q241" s="16"/>
      <c r="R241" s="18"/>
    </row>
    <row r="242" customFormat="false" ht="15" hidden="false" customHeight="false" outlineLevel="0" collapsed="false">
      <c r="A242" s="13" t="n">
        <v>238</v>
      </c>
      <c r="B242" s="13" t="n">
        <v>290</v>
      </c>
      <c r="C242" s="13" t="n">
        <v>58</v>
      </c>
      <c r="D242" s="13" t="n">
        <v>5</v>
      </c>
      <c r="E242" s="13" t="n">
        <v>1.5</v>
      </c>
      <c r="F242" s="13" t="s">
        <v>57</v>
      </c>
      <c r="G242" s="13" t="n">
        <v>5</v>
      </c>
      <c r="H242" s="13" t="n">
        <v>0</v>
      </c>
      <c r="I242" s="19"/>
      <c r="J242" s="19"/>
      <c r="K242" s="17" t="str">
        <f aca="false">IF(AND(I242&lt;&gt;"",J242&lt;&gt;"",J242&lt;&gt;0),I242/J242,"")</f>
        <v/>
      </c>
      <c r="L242" s="19"/>
      <c r="M242" s="19"/>
      <c r="N242" s="19"/>
      <c r="O242" s="19" t="n">
        <v>1.5</v>
      </c>
      <c r="P242" s="17" t="str">
        <f aca="false">IF(AND(N242&lt;&gt;"",O242&lt;&gt;"",I242&lt;&gt;"",I242&lt;&gt;0),N242/(O242*9.81*I242),"")</f>
        <v/>
      </c>
      <c r="Q242" s="19"/>
      <c r="R242" s="20"/>
    </row>
    <row r="243" customFormat="false" ht="15" hidden="false" customHeight="false" outlineLevel="0" collapsed="false">
      <c r="A243" s="11" t="n">
        <v>239</v>
      </c>
      <c r="B243" s="11" t="n">
        <v>100</v>
      </c>
      <c r="C243" s="11" t="n">
        <v>20</v>
      </c>
      <c r="D243" s="11" t="n">
        <v>5</v>
      </c>
      <c r="E243" s="11" t="n">
        <v>0.5</v>
      </c>
      <c r="F243" s="11" t="s">
        <v>61</v>
      </c>
      <c r="G243" s="11" t="n">
        <v>2</v>
      </c>
      <c r="H243" s="11" t="n">
        <v>10</v>
      </c>
      <c r="I243" s="16"/>
      <c r="J243" s="16"/>
      <c r="K243" s="17" t="str">
        <f aca="false">IF(AND(I243&lt;&gt;"",J243&lt;&gt;"",J243&lt;&gt;0),I243/J243,"")</f>
        <v/>
      </c>
      <c r="L243" s="16"/>
      <c r="M243" s="16"/>
      <c r="N243" s="16"/>
      <c r="O243" s="16" t="n">
        <v>1.5</v>
      </c>
      <c r="P243" s="17" t="str">
        <f aca="false">IF(AND(N243&lt;&gt;"",O243&lt;&gt;"",I243&lt;&gt;"",I243&lt;&gt;0),N243/(O243*9.81*I243),"")</f>
        <v/>
      </c>
      <c r="Q243" s="16"/>
      <c r="R243" s="18"/>
    </row>
    <row r="244" customFormat="false" ht="15" hidden="false" customHeight="false" outlineLevel="0" collapsed="false">
      <c r="A244" s="13" t="n">
        <v>240</v>
      </c>
      <c r="B244" s="13" t="n">
        <v>377</v>
      </c>
      <c r="C244" s="13" t="n">
        <v>76</v>
      </c>
      <c r="D244" s="13" t="n">
        <v>2</v>
      </c>
      <c r="E244" s="13" t="n">
        <v>1.5</v>
      </c>
      <c r="F244" s="13" t="s">
        <v>61</v>
      </c>
      <c r="G244" s="13" t="n">
        <v>5</v>
      </c>
      <c r="H244" s="13" t="n">
        <v>0</v>
      </c>
      <c r="I244" s="19"/>
      <c r="J244" s="19"/>
      <c r="K244" s="17" t="str">
        <f aca="false">IF(AND(I244&lt;&gt;"",J244&lt;&gt;"",J244&lt;&gt;0),I244/J244,"")</f>
        <v/>
      </c>
      <c r="L244" s="19"/>
      <c r="M244" s="19"/>
      <c r="N244" s="19"/>
      <c r="O244" s="19" t="n">
        <v>1.5</v>
      </c>
      <c r="P244" s="17" t="str">
        <f aca="false">IF(AND(N244&lt;&gt;"",O244&lt;&gt;"",I244&lt;&gt;"",I244&lt;&gt;0),N244/(O244*9.81*I244),"")</f>
        <v/>
      </c>
      <c r="Q244" s="19"/>
      <c r="R244" s="20"/>
    </row>
    <row r="245" customFormat="false" ht="15" hidden="false" customHeight="false" outlineLevel="0" collapsed="false">
      <c r="A245" s="11" t="n">
        <v>241</v>
      </c>
      <c r="B245" s="11" t="n">
        <v>269</v>
      </c>
      <c r="C245" s="11" t="n">
        <v>54</v>
      </c>
      <c r="D245" s="11" t="n">
        <v>4</v>
      </c>
      <c r="E245" s="11" t="n">
        <v>1</v>
      </c>
      <c r="F245" s="11" t="s">
        <v>61</v>
      </c>
      <c r="G245" s="11" t="n">
        <v>10</v>
      </c>
      <c r="H245" s="11" t="n">
        <v>20</v>
      </c>
      <c r="I245" s="16"/>
      <c r="J245" s="16"/>
      <c r="K245" s="17" t="str">
        <f aca="false">IF(AND(I245&lt;&gt;"",J245&lt;&gt;"",J245&lt;&gt;0),I245/J245,"")</f>
        <v/>
      </c>
      <c r="L245" s="16"/>
      <c r="M245" s="16"/>
      <c r="N245" s="16"/>
      <c r="O245" s="16" t="n">
        <v>1.5</v>
      </c>
      <c r="P245" s="17" t="str">
        <f aca="false">IF(AND(N245&lt;&gt;"",O245&lt;&gt;"",I245&lt;&gt;"",I245&lt;&gt;0),N245/(O245*9.81*I245),"")</f>
        <v/>
      </c>
      <c r="Q245" s="16"/>
      <c r="R245" s="18"/>
    </row>
    <row r="246" customFormat="false" ht="15" hidden="false" customHeight="false" outlineLevel="0" collapsed="false">
      <c r="A246" s="13" t="n">
        <v>242</v>
      </c>
      <c r="B246" s="13" t="n">
        <v>347</v>
      </c>
      <c r="C246" s="13" t="n">
        <v>70</v>
      </c>
      <c r="D246" s="13" t="n">
        <v>2</v>
      </c>
      <c r="E246" s="13" t="n">
        <v>1.5</v>
      </c>
      <c r="F246" s="13" t="s">
        <v>59</v>
      </c>
      <c r="G246" s="13" t="n">
        <v>10</v>
      </c>
      <c r="H246" s="13" t="n">
        <v>0</v>
      </c>
      <c r="I246" s="19"/>
      <c r="J246" s="19"/>
      <c r="K246" s="17" t="str">
        <f aca="false">IF(AND(I246&lt;&gt;"",J246&lt;&gt;"",J246&lt;&gt;0),I246/J246,"")</f>
        <v/>
      </c>
      <c r="L246" s="19"/>
      <c r="M246" s="19"/>
      <c r="N246" s="19"/>
      <c r="O246" s="19" t="n">
        <v>1.5</v>
      </c>
      <c r="P246" s="17" t="str">
        <f aca="false">IF(AND(N246&lt;&gt;"",O246&lt;&gt;"",I246&lt;&gt;"",I246&lt;&gt;0),N246/(O246*9.81*I246),"")</f>
        <v/>
      </c>
      <c r="Q246" s="19"/>
      <c r="R246" s="20"/>
    </row>
    <row r="247" customFormat="false" ht="15" hidden="false" customHeight="false" outlineLevel="0" collapsed="false">
      <c r="A247" s="11" t="n">
        <v>243</v>
      </c>
      <c r="B247" s="11" t="n">
        <v>16</v>
      </c>
      <c r="C247" s="11" t="n">
        <v>4</v>
      </c>
      <c r="D247" s="11" t="n">
        <v>1</v>
      </c>
      <c r="E247" s="11" t="n">
        <v>0.5</v>
      </c>
      <c r="F247" s="11" t="s">
        <v>57</v>
      </c>
      <c r="G247" s="11" t="n">
        <v>5</v>
      </c>
      <c r="H247" s="11" t="n">
        <v>0</v>
      </c>
      <c r="I247" s="16"/>
      <c r="J247" s="16"/>
      <c r="K247" s="17" t="str">
        <f aca="false">IF(AND(I247&lt;&gt;"",J247&lt;&gt;"",J247&lt;&gt;0),I247/J247,"")</f>
        <v/>
      </c>
      <c r="L247" s="16"/>
      <c r="M247" s="16"/>
      <c r="N247" s="16"/>
      <c r="O247" s="16" t="n">
        <v>1.5</v>
      </c>
      <c r="P247" s="17" t="str">
        <f aca="false">IF(AND(N247&lt;&gt;"",O247&lt;&gt;"",I247&lt;&gt;"",I247&lt;&gt;0),N247/(O247*9.81*I247),"")</f>
        <v/>
      </c>
      <c r="Q247" s="16"/>
      <c r="R247" s="18"/>
    </row>
    <row r="248" customFormat="false" ht="15" hidden="false" customHeight="false" outlineLevel="0" collapsed="false">
      <c r="A248" s="13" t="n">
        <v>244</v>
      </c>
      <c r="B248" s="13" t="n">
        <v>316</v>
      </c>
      <c r="C248" s="13" t="n">
        <v>64</v>
      </c>
      <c r="D248" s="13" t="n">
        <v>1</v>
      </c>
      <c r="E248" s="13" t="n">
        <v>1.5</v>
      </c>
      <c r="F248" s="13" t="s">
        <v>59</v>
      </c>
      <c r="G248" s="13" t="n">
        <v>2</v>
      </c>
      <c r="H248" s="13" t="n">
        <v>0</v>
      </c>
      <c r="I248" s="19"/>
      <c r="J248" s="19"/>
      <c r="K248" s="17" t="str">
        <f aca="false">IF(AND(I248&lt;&gt;"",J248&lt;&gt;"",J248&lt;&gt;0),I248/J248,"")</f>
        <v/>
      </c>
      <c r="L248" s="19"/>
      <c r="M248" s="19"/>
      <c r="N248" s="19"/>
      <c r="O248" s="19" t="n">
        <v>1.5</v>
      </c>
      <c r="P248" s="17" t="str">
        <f aca="false">IF(AND(N248&lt;&gt;"",O248&lt;&gt;"",I248&lt;&gt;"",I248&lt;&gt;0),N248/(O248*9.81*I248),"")</f>
        <v/>
      </c>
      <c r="Q248" s="19"/>
      <c r="R248" s="20"/>
    </row>
    <row r="249" customFormat="false" ht="15" hidden="false" customHeight="false" outlineLevel="0" collapsed="false">
      <c r="A249" s="11" t="n">
        <v>245</v>
      </c>
      <c r="B249" s="11" t="n">
        <v>475</v>
      </c>
      <c r="C249" s="11" t="n">
        <v>95</v>
      </c>
      <c r="D249" s="11" t="n">
        <v>5</v>
      </c>
      <c r="E249" s="11" t="n">
        <v>2</v>
      </c>
      <c r="F249" s="11" t="s">
        <v>59</v>
      </c>
      <c r="G249" s="11" t="n">
        <v>5</v>
      </c>
      <c r="H249" s="11" t="n">
        <v>10</v>
      </c>
      <c r="I249" s="16"/>
      <c r="J249" s="16"/>
      <c r="K249" s="17" t="str">
        <f aca="false">IF(AND(I249&lt;&gt;"",J249&lt;&gt;"",J249&lt;&gt;0),I249/J249,"")</f>
        <v/>
      </c>
      <c r="L249" s="16"/>
      <c r="M249" s="16"/>
      <c r="N249" s="16"/>
      <c r="O249" s="16" t="n">
        <v>1.5</v>
      </c>
      <c r="P249" s="17" t="str">
        <f aca="false">IF(AND(N249&lt;&gt;"",O249&lt;&gt;"",I249&lt;&gt;"",I249&lt;&gt;0),N249/(O249*9.81*I249),"")</f>
        <v/>
      </c>
      <c r="Q249" s="16"/>
      <c r="R249" s="18"/>
    </row>
    <row r="250" customFormat="false" ht="15" hidden="false" customHeight="false" outlineLevel="0" collapsed="false">
      <c r="A250" s="13" t="n">
        <v>246</v>
      </c>
      <c r="B250" s="13" t="n">
        <v>222</v>
      </c>
      <c r="C250" s="13" t="n">
        <v>45</v>
      </c>
      <c r="D250" s="13" t="n">
        <v>2</v>
      </c>
      <c r="E250" s="13" t="n">
        <v>1</v>
      </c>
      <c r="F250" s="13" t="s">
        <v>59</v>
      </c>
      <c r="G250" s="13" t="n">
        <v>10</v>
      </c>
      <c r="H250" s="13" t="n">
        <v>20</v>
      </c>
      <c r="I250" s="19"/>
      <c r="J250" s="19"/>
      <c r="K250" s="17" t="str">
        <f aca="false">IF(AND(I250&lt;&gt;"",J250&lt;&gt;"",J250&lt;&gt;0),I250/J250,"")</f>
        <v/>
      </c>
      <c r="L250" s="19"/>
      <c r="M250" s="19"/>
      <c r="N250" s="19"/>
      <c r="O250" s="19" t="n">
        <v>1.5</v>
      </c>
      <c r="P250" s="17" t="str">
        <f aca="false">IF(AND(N250&lt;&gt;"",O250&lt;&gt;"",I250&lt;&gt;"",I250&lt;&gt;0),N250/(O250*9.81*I250),"")</f>
        <v/>
      </c>
      <c r="Q250" s="19"/>
      <c r="R250" s="20"/>
    </row>
    <row r="251" customFormat="false" ht="15" hidden="false" customHeight="false" outlineLevel="0" collapsed="false">
      <c r="A251" s="11" t="n">
        <v>247</v>
      </c>
      <c r="B251" s="11" t="n">
        <v>362</v>
      </c>
      <c r="C251" s="11" t="n">
        <v>73</v>
      </c>
      <c r="D251" s="11" t="n">
        <v>2</v>
      </c>
      <c r="E251" s="11" t="n">
        <v>1.5</v>
      </c>
      <c r="F251" s="11" t="s">
        <v>61</v>
      </c>
      <c r="G251" s="11" t="n">
        <v>2</v>
      </c>
      <c r="H251" s="11" t="n">
        <v>0</v>
      </c>
      <c r="I251" s="16"/>
      <c r="J251" s="16"/>
      <c r="K251" s="17" t="str">
        <f aca="false">IF(AND(I251&lt;&gt;"",J251&lt;&gt;"",J251&lt;&gt;0),I251/J251,"")</f>
        <v/>
      </c>
      <c r="L251" s="16"/>
      <c r="M251" s="16"/>
      <c r="N251" s="16"/>
      <c r="O251" s="16" t="n">
        <v>1.5</v>
      </c>
      <c r="P251" s="17" t="str">
        <f aca="false">IF(AND(N251&lt;&gt;"",O251&lt;&gt;"",I251&lt;&gt;"",I251&lt;&gt;0),N251/(O251*9.81*I251),"")</f>
        <v/>
      </c>
      <c r="Q251" s="16"/>
      <c r="R251" s="18"/>
    </row>
    <row r="252" customFormat="false" ht="15" hidden="false" customHeight="false" outlineLevel="0" collapsed="false">
      <c r="A252" s="13" t="n">
        <v>248</v>
      </c>
      <c r="B252" s="13" t="n">
        <v>340</v>
      </c>
      <c r="C252" s="13" t="n">
        <v>68</v>
      </c>
      <c r="D252" s="13" t="n">
        <v>5</v>
      </c>
      <c r="E252" s="13" t="n">
        <v>1.5</v>
      </c>
      <c r="F252" s="13" t="s">
        <v>59</v>
      </c>
      <c r="G252" s="13" t="n">
        <v>5</v>
      </c>
      <c r="H252" s="13" t="n">
        <v>10</v>
      </c>
      <c r="I252" s="19"/>
      <c r="J252" s="19"/>
      <c r="K252" s="17" t="str">
        <f aca="false">IF(AND(I252&lt;&gt;"",J252&lt;&gt;"",J252&lt;&gt;0),I252/J252,"")</f>
        <v/>
      </c>
      <c r="L252" s="19"/>
      <c r="M252" s="19"/>
      <c r="N252" s="19"/>
      <c r="O252" s="19" t="n">
        <v>1.5</v>
      </c>
      <c r="P252" s="17" t="str">
        <f aca="false">IF(AND(N252&lt;&gt;"",O252&lt;&gt;"",I252&lt;&gt;"",I252&lt;&gt;0),N252/(O252*9.81*I252),"")</f>
        <v/>
      </c>
      <c r="Q252" s="19"/>
      <c r="R252" s="20"/>
    </row>
    <row r="253" customFormat="false" ht="15" hidden="false" customHeight="false" outlineLevel="0" collapsed="false">
      <c r="A253" s="11" t="n">
        <v>249</v>
      </c>
      <c r="B253" s="11" t="n">
        <v>412</v>
      </c>
      <c r="C253" s="11" t="n">
        <v>83</v>
      </c>
      <c r="D253" s="11" t="n">
        <v>2</v>
      </c>
      <c r="E253" s="11" t="n">
        <v>2</v>
      </c>
      <c r="F253" s="11" t="s">
        <v>57</v>
      </c>
      <c r="G253" s="11" t="n">
        <v>2</v>
      </c>
      <c r="H253" s="11" t="n">
        <v>10</v>
      </c>
      <c r="I253" s="16"/>
      <c r="J253" s="16"/>
      <c r="K253" s="17" t="str">
        <f aca="false">IF(AND(I253&lt;&gt;"",J253&lt;&gt;"",J253&lt;&gt;0),I253/J253,"")</f>
        <v/>
      </c>
      <c r="L253" s="16"/>
      <c r="M253" s="16"/>
      <c r="N253" s="16"/>
      <c r="O253" s="16" t="n">
        <v>1.5</v>
      </c>
      <c r="P253" s="17" t="str">
        <f aca="false">IF(AND(N253&lt;&gt;"",O253&lt;&gt;"",I253&lt;&gt;"",I253&lt;&gt;0),N253/(O253*9.81*I253),"")</f>
        <v/>
      </c>
      <c r="Q253" s="16"/>
      <c r="R253" s="18"/>
    </row>
    <row r="254" customFormat="false" ht="15" hidden="false" customHeight="false" outlineLevel="0" collapsed="false">
      <c r="A254" s="13" t="n">
        <v>250</v>
      </c>
      <c r="B254" s="13" t="n">
        <v>534</v>
      </c>
      <c r="C254" s="13" t="n">
        <v>107</v>
      </c>
      <c r="D254" s="13" t="n">
        <v>4</v>
      </c>
      <c r="E254" s="13" t="n">
        <v>2</v>
      </c>
      <c r="F254" s="13" t="s">
        <v>61</v>
      </c>
      <c r="G254" s="13" t="n">
        <v>10</v>
      </c>
      <c r="H254" s="13" t="n">
        <v>10</v>
      </c>
      <c r="I254" s="19"/>
      <c r="J254" s="19"/>
      <c r="K254" s="17" t="str">
        <f aca="false">IF(AND(I254&lt;&gt;"",J254&lt;&gt;"",J254&lt;&gt;0),I254/J254,"")</f>
        <v/>
      </c>
      <c r="L254" s="19"/>
      <c r="M254" s="19"/>
      <c r="N254" s="19"/>
      <c r="O254" s="19" t="n">
        <v>1.5</v>
      </c>
      <c r="P254" s="17" t="str">
        <f aca="false">IF(AND(N254&lt;&gt;"",O254&lt;&gt;"",I254&lt;&gt;"",I254&lt;&gt;0),N254/(O254*9.81*I254),"")</f>
        <v/>
      </c>
      <c r="Q254" s="19"/>
      <c r="R254" s="20"/>
    </row>
    <row r="255" customFormat="false" ht="15" hidden="false" customHeight="false" outlineLevel="0" collapsed="false">
      <c r="A255" s="11" t="n">
        <v>251</v>
      </c>
      <c r="B255" s="11" t="n">
        <v>43</v>
      </c>
      <c r="C255" s="11" t="n">
        <v>9</v>
      </c>
      <c r="D255" s="11" t="n">
        <v>3</v>
      </c>
      <c r="E255" s="11" t="n">
        <v>0.5</v>
      </c>
      <c r="F255" s="11" t="s">
        <v>57</v>
      </c>
      <c r="G255" s="11" t="n">
        <v>10</v>
      </c>
      <c r="H255" s="11" t="n">
        <v>20</v>
      </c>
      <c r="I255" s="16"/>
      <c r="J255" s="16"/>
      <c r="K255" s="17" t="str">
        <f aca="false">IF(AND(I255&lt;&gt;"",J255&lt;&gt;"",J255&lt;&gt;0),I255/J255,"")</f>
        <v/>
      </c>
      <c r="L255" s="16"/>
      <c r="M255" s="16"/>
      <c r="N255" s="16"/>
      <c r="O255" s="16" t="n">
        <v>1.5</v>
      </c>
      <c r="P255" s="17" t="str">
        <f aca="false">IF(AND(N255&lt;&gt;"",O255&lt;&gt;"",I255&lt;&gt;"",I255&lt;&gt;0),N255/(O255*9.81*I255),"")</f>
        <v/>
      </c>
      <c r="Q255" s="16"/>
      <c r="R255" s="18"/>
    </row>
    <row r="256" customFormat="false" ht="15" hidden="false" customHeight="false" outlineLevel="0" collapsed="false">
      <c r="A256" s="13" t="n">
        <v>252</v>
      </c>
      <c r="B256" s="13" t="n">
        <v>61</v>
      </c>
      <c r="C256" s="13" t="n">
        <v>13</v>
      </c>
      <c r="D256" s="13" t="n">
        <v>1</v>
      </c>
      <c r="E256" s="13" t="n">
        <v>0.5</v>
      </c>
      <c r="F256" s="13" t="s">
        <v>59</v>
      </c>
      <c r="G256" s="13" t="n">
        <v>5</v>
      </c>
      <c r="H256" s="13" t="n">
        <v>0</v>
      </c>
      <c r="I256" s="19"/>
      <c r="J256" s="19"/>
      <c r="K256" s="17" t="str">
        <f aca="false">IF(AND(I256&lt;&gt;"",J256&lt;&gt;"",J256&lt;&gt;0),I256/J256,"")</f>
        <v/>
      </c>
      <c r="L256" s="19"/>
      <c r="M256" s="19"/>
      <c r="N256" s="19"/>
      <c r="O256" s="19" t="n">
        <v>1.5</v>
      </c>
      <c r="P256" s="17" t="str">
        <f aca="false">IF(AND(N256&lt;&gt;"",O256&lt;&gt;"",I256&lt;&gt;"",I256&lt;&gt;0),N256/(O256*9.81*I256),"")</f>
        <v/>
      </c>
      <c r="Q256" s="19"/>
      <c r="R256" s="20"/>
    </row>
    <row r="257" customFormat="false" ht="15" hidden="false" customHeight="false" outlineLevel="0" collapsed="false">
      <c r="A257" s="11" t="n">
        <v>253</v>
      </c>
      <c r="B257" s="11" t="n">
        <v>218</v>
      </c>
      <c r="C257" s="11" t="n">
        <v>44</v>
      </c>
      <c r="D257" s="11" t="n">
        <v>3</v>
      </c>
      <c r="E257" s="11" t="n">
        <v>1</v>
      </c>
      <c r="F257" s="11" t="s">
        <v>59</v>
      </c>
      <c r="G257" s="11" t="n">
        <v>10</v>
      </c>
      <c r="H257" s="11" t="n">
        <v>10</v>
      </c>
      <c r="I257" s="16"/>
      <c r="J257" s="16"/>
      <c r="K257" s="17" t="str">
        <f aca="false">IF(AND(I257&lt;&gt;"",J257&lt;&gt;"",J257&lt;&gt;0),I257/J257,"")</f>
        <v/>
      </c>
      <c r="L257" s="16"/>
      <c r="M257" s="16"/>
      <c r="N257" s="16"/>
      <c r="O257" s="16" t="n">
        <v>1.5</v>
      </c>
      <c r="P257" s="17" t="str">
        <f aca="false">IF(AND(N257&lt;&gt;"",O257&lt;&gt;"",I257&lt;&gt;"",I257&lt;&gt;0),N257/(O257*9.81*I257),"")</f>
        <v/>
      </c>
      <c r="Q257" s="16"/>
      <c r="R257" s="18"/>
    </row>
    <row r="258" customFormat="false" ht="15" hidden="false" customHeight="false" outlineLevel="0" collapsed="false">
      <c r="A258" s="13" t="n">
        <v>254</v>
      </c>
      <c r="B258" s="13" t="n">
        <v>193</v>
      </c>
      <c r="C258" s="13" t="n">
        <v>39</v>
      </c>
      <c r="D258" s="13" t="n">
        <v>3</v>
      </c>
      <c r="E258" s="13" t="n">
        <v>1</v>
      </c>
      <c r="F258" s="13" t="s">
        <v>59</v>
      </c>
      <c r="G258" s="13" t="n">
        <v>2</v>
      </c>
      <c r="H258" s="13" t="n">
        <v>20</v>
      </c>
      <c r="I258" s="19"/>
      <c r="J258" s="19"/>
      <c r="K258" s="17" t="str">
        <f aca="false">IF(AND(I258&lt;&gt;"",J258&lt;&gt;"",J258&lt;&gt;0),I258/J258,"")</f>
        <v/>
      </c>
      <c r="L258" s="19"/>
      <c r="M258" s="19"/>
      <c r="N258" s="19"/>
      <c r="O258" s="19" t="n">
        <v>1.5</v>
      </c>
      <c r="P258" s="17" t="str">
        <f aca="false">IF(AND(N258&lt;&gt;"",O258&lt;&gt;"",I258&lt;&gt;"",I258&lt;&gt;0),N258/(O258*9.81*I258),"")</f>
        <v/>
      </c>
      <c r="Q258" s="19"/>
      <c r="R258" s="20"/>
    </row>
    <row r="259" customFormat="false" ht="15" hidden="false" customHeight="false" outlineLevel="0" collapsed="false">
      <c r="A259" s="11" t="n">
        <v>255</v>
      </c>
      <c r="B259" s="11" t="n">
        <v>238</v>
      </c>
      <c r="C259" s="11" t="n">
        <v>48</v>
      </c>
      <c r="D259" s="11" t="n">
        <v>3</v>
      </c>
      <c r="E259" s="11" t="n">
        <v>1</v>
      </c>
      <c r="F259" s="11" t="s">
        <v>61</v>
      </c>
      <c r="G259" s="11" t="n">
        <v>2</v>
      </c>
      <c r="H259" s="11" t="n">
        <v>20</v>
      </c>
      <c r="I259" s="16"/>
      <c r="J259" s="16"/>
      <c r="K259" s="17" t="str">
        <f aca="false">IF(AND(I259&lt;&gt;"",J259&lt;&gt;"",J259&lt;&gt;0),I259/J259,"")</f>
        <v/>
      </c>
      <c r="L259" s="16"/>
      <c r="M259" s="16"/>
      <c r="N259" s="16"/>
      <c r="O259" s="16" t="n">
        <v>1.5</v>
      </c>
      <c r="P259" s="17" t="str">
        <f aca="false">IF(AND(N259&lt;&gt;"",O259&lt;&gt;"",I259&lt;&gt;"",I259&lt;&gt;0),N259/(O259*9.81*I259),"")</f>
        <v/>
      </c>
      <c r="Q259" s="16"/>
      <c r="R259" s="18"/>
    </row>
    <row r="260" customFormat="false" ht="15" hidden="false" customHeight="false" outlineLevel="0" collapsed="false">
      <c r="A260" s="13" t="n">
        <v>256</v>
      </c>
      <c r="B260" s="13" t="n">
        <v>510</v>
      </c>
      <c r="C260" s="13" t="n">
        <v>102</v>
      </c>
      <c r="D260" s="13" t="n">
        <v>5</v>
      </c>
      <c r="E260" s="13" t="n">
        <v>2</v>
      </c>
      <c r="F260" s="13" t="s">
        <v>61</v>
      </c>
      <c r="G260" s="13" t="n">
        <v>2</v>
      </c>
      <c r="H260" s="13" t="n">
        <v>20</v>
      </c>
      <c r="I260" s="19"/>
      <c r="J260" s="19"/>
      <c r="K260" s="17" t="str">
        <f aca="false">IF(AND(I260&lt;&gt;"",J260&lt;&gt;"",J260&lt;&gt;0),I260/J260,"")</f>
        <v/>
      </c>
      <c r="L260" s="19"/>
      <c r="M260" s="19"/>
      <c r="N260" s="19"/>
      <c r="O260" s="19" t="n">
        <v>1.5</v>
      </c>
      <c r="P260" s="17" t="str">
        <f aca="false">IF(AND(N260&lt;&gt;"",O260&lt;&gt;"",I260&lt;&gt;"",I260&lt;&gt;0),N260/(O260*9.81*I260),"")</f>
        <v/>
      </c>
      <c r="Q260" s="19"/>
      <c r="R260" s="20"/>
    </row>
    <row r="261" customFormat="false" ht="15" hidden="false" customHeight="false" outlineLevel="0" collapsed="false">
      <c r="A261" s="11" t="n">
        <v>257</v>
      </c>
      <c r="B261" s="11" t="n">
        <v>8</v>
      </c>
      <c r="C261" s="11" t="n">
        <v>2</v>
      </c>
      <c r="D261" s="11" t="n">
        <v>3</v>
      </c>
      <c r="E261" s="11" t="n">
        <v>0.5</v>
      </c>
      <c r="F261" s="11" t="s">
        <v>57</v>
      </c>
      <c r="G261" s="11" t="n">
        <v>2</v>
      </c>
      <c r="H261" s="11" t="n">
        <v>10</v>
      </c>
      <c r="I261" s="16"/>
      <c r="J261" s="16"/>
      <c r="K261" s="17" t="str">
        <f aca="false">IF(AND(I261&lt;&gt;"",J261&lt;&gt;"",J261&lt;&gt;0),I261/J261,"")</f>
        <v/>
      </c>
      <c r="L261" s="16"/>
      <c r="M261" s="16"/>
      <c r="N261" s="16"/>
      <c r="O261" s="16" t="n">
        <v>1.5</v>
      </c>
      <c r="P261" s="17" t="str">
        <f aca="false">IF(AND(N261&lt;&gt;"",O261&lt;&gt;"",I261&lt;&gt;"",I261&lt;&gt;0),N261/(O261*9.81*I261),"")</f>
        <v/>
      </c>
      <c r="Q261" s="16"/>
      <c r="R261" s="18"/>
    </row>
    <row r="262" customFormat="false" ht="15" hidden="false" customHeight="false" outlineLevel="0" collapsed="false">
      <c r="A262" s="13" t="n">
        <v>258</v>
      </c>
      <c r="B262" s="13" t="n">
        <v>539</v>
      </c>
      <c r="C262" s="13" t="n">
        <v>108</v>
      </c>
      <c r="D262" s="13" t="n">
        <v>4</v>
      </c>
      <c r="E262" s="13" t="n">
        <v>2</v>
      </c>
      <c r="F262" s="13" t="s">
        <v>61</v>
      </c>
      <c r="G262" s="13" t="n">
        <v>10</v>
      </c>
      <c r="H262" s="13" t="n">
        <v>20</v>
      </c>
      <c r="I262" s="19"/>
      <c r="J262" s="19"/>
      <c r="K262" s="17" t="str">
        <f aca="false">IF(AND(I262&lt;&gt;"",J262&lt;&gt;"",J262&lt;&gt;0),I262/J262,"")</f>
        <v/>
      </c>
      <c r="L262" s="19"/>
      <c r="M262" s="19"/>
      <c r="N262" s="19"/>
      <c r="O262" s="19" t="n">
        <v>1.5</v>
      </c>
      <c r="P262" s="17" t="str">
        <f aca="false">IF(AND(N262&lt;&gt;"",O262&lt;&gt;"",I262&lt;&gt;"",I262&lt;&gt;0),N262/(O262*9.81*I262),"")</f>
        <v/>
      </c>
      <c r="Q262" s="19"/>
      <c r="R262" s="20"/>
    </row>
    <row r="263" customFormat="false" ht="15" hidden="false" customHeight="false" outlineLevel="0" collapsed="false">
      <c r="A263" s="11" t="n">
        <v>259</v>
      </c>
      <c r="B263" s="11" t="n">
        <v>411</v>
      </c>
      <c r="C263" s="11" t="n">
        <v>83</v>
      </c>
      <c r="D263" s="11" t="n">
        <v>1</v>
      </c>
      <c r="E263" s="11" t="n">
        <v>2</v>
      </c>
      <c r="F263" s="11" t="s">
        <v>57</v>
      </c>
      <c r="G263" s="11" t="n">
        <v>2</v>
      </c>
      <c r="H263" s="11" t="n">
        <v>10</v>
      </c>
      <c r="I263" s="16"/>
      <c r="J263" s="16"/>
      <c r="K263" s="17" t="str">
        <f aca="false">IF(AND(I263&lt;&gt;"",J263&lt;&gt;"",J263&lt;&gt;0),I263/J263,"")</f>
        <v/>
      </c>
      <c r="L263" s="16"/>
      <c r="M263" s="16"/>
      <c r="N263" s="16"/>
      <c r="O263" s="16" t="n">
        <v>1.5</v>
      </c>
      <c r="P263" s="17" t="str">
        <f aca="false">IF(AND(N263&lt;&gt;"",O263&lt;&gt;"",I263&lt;&gt;"",I263&lt;&gt;0),N263/(O263*9.81*I263),"")</f>
        <v/>
      </c>
      <c r="Q263" s="16"/>
      <c r="R263" s="18"/>
    </row>
    <row r="264" customFormat="false" ht="15" hidden="false" customHeight="false" outlineLevel="0" collapsed="false">
      <c r="A264" s="13" t="n">
        <v>260</v>
      </c>
      <c r="B264" s="13" t="n">
        <v>227</v>
      </c>
      <c r="C264" s="13" t="n">
        <v>46</v>
      </c>
      <c r="D264" s="13" t="n">
        <v>2</v>
      </c>
      <c r="E264" s="13" t="n">
        <v>1</v>
      </c>
      <c r="F264" s="13" t="s">
        <v>61</v>
      </c>
      <c r="G264" s="13" t="n">
        <v>2</v>
      </c>
      <c r="H264" s="13" t="n">
        <v>0</v>
      </c>
      <c r="I264" s="19"/>
      <c r="J264" s="19"/>
      <c r="K264" s="17" t="str">
        <f aca="false">IF(AND(I264&lt;&gt;"",J264&lt;&gt;"",J264&lt;&gt;0),I264/J264,"")</f>
        <v/>
      </c>
      <c r="L264" s="19"/>
      <c r="M264" s="19"/>
      <c r="N264" s="19"/>
      <c r="O264" s="19" t="n">
        <v>1.5</v>
      </c>
      <c r="P264" s="17" t="str">
        <f aca="false">IF(AND(N264&lt;&gt;"",O264&lt;&gt;"",I264&lt;&gt;"",I264&lt;&gt;0),N264/(O264*9.81*I264),"")</f>
        <v/>
      </c>
      <c r="Q264" s="19"/>
      <c r="R264" s="20"/>
    </row>
    <row r="265" customFormat="false" ht="15" hidden="false" customHeight="false" outlineLevel="0" collapsed="false">
      <c r="A265" s="11" t="n">
        <v>261</v>
      </c>
      <c r="B265" s="11" t="n">
        <v>39</v>
      </c>
      <c r="C265" s="11" t="n">
        <v>8</v>
      </c>
      <c r="D265" s="11" t="n">
        <v>4</v>
      </c>
      <c r="E265" s="11" t="n">
        <v>0.5</v>
      </c>
      <c r="F265" s="11" t="s">
        <v>57</v>
      </c>
      <c r="G265" s="11" t="n">
        <v>10</v>
      </c>
      <c r="H265" s="11" t="n">
        <v>10</v>
      </c>
      <c r="I265" s="16"/>
      <c r="J265" s="16"/>
      <c r="K265" s="17" t="str">
        <f aca="false">IF(AND(I265&lt;&gt;"",J265&lt;&gt;"",J265&lt;&gt;0),I265/J265,"")</f>
        <v/>
      </c>
      <c r="L265" s="16"/>
      <c r="M265" s="16"/>
      <c r="N265" s="16"/>
      <c r="O265" s="16" t="n">
        <v>1.5</v>
      </c>
      <c r="P265" s="17" t="str">
        <f aca="false">IF(AND(N265&lt;&gt;"",O265&lt;&gt;"",I265&lt;&gt;"",I265&lt;&gt;0),N265/(O265*9.81*I265),"")</f>
        <v/>
      </c>
      <c r="Q265" s="16"/>
      <c r="R265" s="18"/>
    </row>
    <row r="266" customFormat="false" ht="15" hidden="false" customHeight="false" outlineLevel="0" collapsed="false">
      <c r="A266" s="13" t="n">
        <v>262</v>
      </c>
      <c r="B266" s="13" t="n">
        <v>327</v>
      </c>
      <c r="C266" s="13" t="n">
        <v>66</v>
      </c>
      <c r="D266" s="13" t="n">
        <v>2</v>
      </c>
      <c r="E266" s="13" t="n">
        <v>1.5</v>
      </c>
      <c r="F266" s="13" t="s">
        <v>59</v>
      </c>
      <c r="G266" s="13" t="n">
        <v>2</v>
      </c>
      <c r="H266" s="13" t="n">
        <v>20</v>
      </c>
      <c r="I266" s="19"/>
      <c r="J266" s="19"/>
      <c r="K266" s="17" t="str">
        <f aca="false">IF(AND(I266&lt;&gt;"",J266&lt;&gt;"",J266&lt;&gt;0),I266/J266,"")</f>
        <v/>
      </c>
      <c r="L266" s="19"/>
      <c r="M266" s="19"/>
      <c r="N266" s="19"/>
      <c r="O266" s="19" t="n">
        <v>1.5</v>
      </c>
      <c r="P266" s="17" t="str">
        <f aca="false">IF(AND(N266&lt;&gt;"",O266&lt;&gt;"",I266&lt;&gt;"",I266&lt;&gt;0),N266/(O266*9.81*I266),"")</f>
        <v/>
      </c>
      <c r="Q266" s="19"/>
      <c r="R266" s="20"/>
    </row>
    <row r="267" customFormat="false" ht="15" hidden="false" customHeight="false" outlineLevel="0" collapsed="false">
      <c r="A267" s="11" t="n">
        <v>263</v>
      </c>
      <c r="B267" s="11" t="n">
        <v>448</v>
      </c>
      <c r="C267" s="11" t="n">
        <v>90</v>
      </c>
      <c r="D267" s="11" t="n">
        <v>3</v>
      </c>
      <c r="E267" s="11" t="n">
        <v>2</v>
      </c>
      <c r="F267" s="11" t="s">
        <v>57</v>
      </c>
      <c r="G267" s="11" t="n">
        <v>10</v>
      </c>
      <c r="H267" s="11" t="n">
        <v>20</v>
      </c>
      <c r="I267" s="16"/>
      <c r="J267" s="16"/>
      <c r="K267" s="17" t="str">
        <f aca="false">IF(AND(I267&lt;&gt;"",J267&lt;&gt;"",J267&lt;&gt;0),I267/J267,"")</f>
        <v/>
      </c>
      <c r="L267" s="16"/>
      <c r="M267" s="16"/>
      <c r="N267" s="16"/>
      <c r="O267" s="16" t="n">
        <v>1.5</v>
      </c>
      <c r="P267" s="17" t="str">
        <f aca="false">IF(AND(N267&lt;&gt;"",O267&lt;&gt;"",I267&lt;&gt;"",I267&lt;&gt;0),N267/(O267*9.81*I267),"")</f>
        <v/>
      </c>
      <c r="Q267" s="16"/>
      <c r="R267" s="18"/>
    </row>
    <row r="268" customFormat="false" ht="15" hidden="false" customHeight="false" outlineLevel="0" collapsed="false">
      <c r="A268" s="13" t="n">
        <v>264</v>
      </c>
      <c r="B268" s="13" t="n">
        <v>294</v>
      </c>
      <c r="C268" s="13" t="n">
        <v>59</v>
      </c>
      <c r="D268" s="13" t="n">
        <v>4</v>
      </c>
      <c r="E268" s="13" t="n">
        <v>1.5</v>
      </c>
      <c r="F268" s="13" t="s">
        <v>57</v>
      </c>
      <c r="G268" s="13" t="n">
        <v>5</v>
      </c>
      <c r="H268" s="13" t="n">
        <v>10</v>
      </c>
      <c r="I268" s="19"/>
      <c r="J268" s="19"/>
      <c r="K268" s="17" t="str">
        <f aca="false">IF(AND(I268&lt;&gt;"",J268&lt;&gt;"",J268&lt;&gt;0),I268/J268,"")</f>
        <v/>
      </c>
      <c r="L268" s="19"/>
      <c r="M268" s="19"/>
      <c r="N268" s="19"/>
      <c r="O268" s="19" t="n">
        <v>1.5</v>
      </c>
      <c r="P268" s="17" t="str">
        <f aca="false">IF(AND(N268&lt;&gt;"",O268&lt;&gt;"",I268&lt;&gt;"",I268&lt;&gt;0),N268/(O268*9.81*I268),"")</f>
        <v/>
      </c>
      <c r="Q268" s="19"/>
      <c r="R268" s="20"/>
    </row>
    <row r="269" customFormat="false" ht="15" hidden="false" customHeight="false" outlineLevel="0" collapsed="false">
      <c r="A269" s="11" t="n">
        <v>265</v>
      </c>
      <c r="B269" s="11" t="n">
        <v>94</v>
      </c>
      <c r="C269" s="11" t="n">
        <v>19</v>
      </c>
      <c r="D269" s="11" t="n">
        <v>4</v>
      </c>
      <c r="E269" s="11" t="n">
        <v>0.5</v>
      </c>
      <c r="F269" s="11" t="s">
        <v>61</v>
      </c>
      <c r="G269" s="11" t="n">
        <v>2</v>
      </c>
      <c r="H269" s="11" t="n">
        <v>0</v>
      </c>
      <c r="I269" s="16"/>
      <c r="J269" s="16"/>
      <c r="K269" s="17" t="str">
        <f aca="false">IF(AND(I269&lt;&gt;"",J269&lt;&gt;"",J269&lt;&gt;0),I269/J269,"")</f>
        <v/>
      </c>
      <c r="L269" s="16"/>
      <c r="M269" s="16"/>
      <c r="N269" s="16"/>
      <c r="O269" s="16" t="n">
        <v>1.5</v>
      </c>
      <c r="P269" s="17" t="str">
        <f aca="false">IF(AND(N269&lt;&gt;"",O269&lt;&gt;"",I269&lt;&gt;"",I269&lt;&gt;0),N269/(O269*9.81*I269),"")</f>
        <v/>
      </c>
      <c r="Q269" s="16"/>
      <c r="R269" s="18"/>
    </row>
    <row r="270" customFormat="false" ht="15" hidden="false" customHeight="false" outlineLevel="0" collapsed="false">
      <c r="A270" s="13" t="n">
        <v>266</v>
      </c>
      <c r="B270" s="13" t="n">
        <v>280</v>
      </c>
      <c r="C270" s="13" t="n">
        <v>56</v>
      </c>
      <c r="D270" s="13" t="n">
        <v>5</v>
      </c>
      <c r="E270" s="13" t="n">
        <v>1.5</v>
      </c>
      <c r="F270" s="13" t="s">
        <v>57</v>
      </c>
      <c r="G270" s="13" t="n">
        <v>2</v>
      </c>
      <c r="H270" s="13" t="n">
        <v>10</v>
      </c>
      <c r="I270" s="19"/>
      <c r="J270" s="19"/>
      <c r="K270" s="17" t="str">
        <f aca="false">IF(AND(I270&lt;&gt;"",J270&lt;&gt;"",J270&lt;&gt;0),I270/J270,"")</f>
        <v/>
      </c>
      <c r="L270" s="19"/>
      <c r="M270" s="19"/>
      <c r="N270" s="19"/>
      <c r="O270" s="19" t="n">
        <v>1.5</v>
      </c>
      <c r="P270" s="17" t="str">
        <f aca="false">IF(AND(N270&lt;&gt;"",O270&lt;&gt;"",I270&lt;&gt;"",I270&lt;&gt;0),N270/(O270*9.81*I270),"")</f>
        <v/>
      </c>
      <c r="Q270" s="19"/>
      <c r="R270" s="20"/>
    </row>
    <row r="271" customFormat="false" ht="15" hidden="false" customHeight="false" outlineLevel="0" collapsed="false">
      <c r="A271" s="11" t="n">
        <v>267</v>
      </c>
      <c r="B271" s="11" t="n">
        <v>415</v>
      </c>
      <c r="C271" s="11" t="n">
        <v>83</v>
      </c>
      <c r="D271" s="11" t="n">
        <v>5</v>
      </c>
      <c r="E271" s="11" t="n">
        <v>2</v>
      </c>
      <c r="F271" s="11" t="s">
        <v>57</v>
      </c>
      <c r="G271" s="11" t="n">
        <v>2</v>
      </c>
      <c r="H271" s="11" t="n">
        <v>10</v>
      </c>
      <c r="I271" s="16"/>
      <c r="J271" s="16"/>
      <c r="K271" s="17" t="str">
        <f aca="false">IF(AND(I271&lt;&gt;"",J271&lt;&gt;"",J271&lt;&gt;0),I271/J271,"")</f>
        <v/>
      </c>
      <c r="L271" s="16"/>
      <c r="M271" s="16"/>
      <c r="N271" s="16"/>
      <c r="O271" s="16" t="n">
        <v>1.5</v>
      </c>
      <c r="P271" s="17" t="str">
        <f aca="false">IF(AND(N271&lt;&gt;"",O271&lt;&gt;"",I271&lt;&gt;"",I271&lt;&gt;0),N271/(O271*9.81*I271),"")</f>
        <v/>
      </c>
      <c r="Q271" s="16"/>
      <c r="R271" s="18"/>
    </row>
    <row r="272" customFormat="false" ht="15" hidden="false" customHeight="false" outlineLevel="0" collapsed="false">
      <c r="A272" s="13" t="n">
        <v>268</v>
      </c>
      <c r="B272" s="13" t="n">
        <v>230</v>
      </c>
      <c r="C272" s="13" t="n">
        <v>46</v>
      </c>
      <c r="D272" s="13" t="n">
        <v>5</v>
      </c>
      <c r="E272" s="13" t="n">
        <v>1</v>
      </c>
      <c r="F272" s="13" t="s">
        <v>61</v>
      </c>
      <c r="G272" s="13" t="n">
        <v>2</v>
      </c>
      <c r="H272" s="13" t="n">
        <v>0</v>
      </c>
      <c r="I272" s="19"/>
      <c r="J272" s="19"/>
      <c r="K272" s="17" t="str">
        <f aca="false">IF(AND(I272&lt;&gt;"",J272&lt;&gt;"",J272&lt;&gt;0),I272/J272,"")</f>
        <v/>
      </c>
      <c r="L272" s="19"/>
      <c r="M272" s="19"/>
      <c r="N272" s="19"/>
      <c r="O272" s="19" t="n">
        <v>1.5</v>
      </c>
      <c r="P272" s="17" t="str">
        <f aca="false">IF(AND(N272&lt;&gt;"",O272&lt;&gt;"",I272&lt;&gt;"",I272&lt;&gt;0),N272/(O272*9.81*I272),"")</f>
        <v/>
      </c>
      <c r="Q272" s="19"/>
      <c r="R272" s="20"/>
    </row>
    <row r="273" customFormat="false" ht="15" hidden="false" customHeight="false" outlineLevel="0" collapsed="false">
      <c r="A273" s="11" t="n">
        <v>269</v>
      </c>
      <c r="B273" s="11" t="n">
        <v>515</v>
      </c>
      <c r="C273" s="11" t="n">
        <v>103</v>
      </c>
      <c r="D273" s="11" t="n">
        <v>5</v>
      </c>
      <c r="E273" s="11" t="n">
        <v>2</v>
      </c>
      <c r="F273" s="11" t="s">
        <v>61</v>
      </c>
      <c r="G273" s="11" t="n">
        <v>5</v>
      </c>
      <c r="H273" s="11" t="n">
        <v>0</v>
      </c>
      <c r="I273" s="16"/>
      <c r="J273" s="16"/>
      <c r="K273" s="17" t="str">
        <f aca="false">IF(AND(I273&lt;&gt;"",J273&lt;&gt;"",J273&lt;&gt;0),I273/J273,"")</f>
        <v/>
      </c>
      <c r="L273" s="16"/>
      <c r="M273" s="16"/>
      <c r="N273" s="16"/>
      <c r="O273" s="16" t="n">
        <v>1.5</v>
      </c>
      <c r="P273" s="17" t="str">
        <f aca="false">IF(AND(N273&lt;&gt;"",O273&lt;&gt;"",I273&lt;&gt;"",I273&lt;&gt;0),N273/(O273*9.81*I273),"")</f>
        <v/>
      </c>
      <c r="Q273" s="16"/>
      <c r="R273" s="18"/>
    </row>
    <row r="274" customFormat="false" ht="15" hidden="false" customHeight="false" outlineLevel="0" collapsed="false">
      <c r="A274" s="13" t="n">
        <v>270</v>
      </c>
      <c r="B274" s="13" t="n">
        <v>484</v>
      </c>
      <c r="C274" s="13" t="n">
        <v>97</v>
      </c>
      <c r="D274" s="13" t="n">
        <v>4</v>
      </c>
      <c r="E274" s="13" t="n">
        <v>2</v>
      </c>
      <c r="F274" s="13" t="s">
        <v>59</v>
      </c>
      <c r="G274" s="13" t="n">
        <v>10</v>
      </c>
      <c r="H274" s="13" t="n">
        <v>0</v>
      </c>
      <c r="I274" s="19"/>
      <c r="J274" s="19"/>
      <c r="K274" s="17" t="str">
        <f aca="false">IF(AND(I274&lt;&gt;"",J274&lt;&gt;"",J274&lt;&gt;0),I274/J274,"")</f>
        <v/>
      </c>
      <c r="L274" s="19"/>
      <c r="M274" s="19"/>
      <c r="N274" s="19"/>
      <c r="O274" s="19" t="n">
        <v>1.5</v>
      </c>
      <c r="P274" s="17" t="str">
        <f aca="false">IF(AND(N274&lt;&gt;"",O274&lt;&gt;"",I274&lt;&gt;"",I274&lt;&gt;0),N274/(O274*9.81*I274),"")</f>
        <v/>
      </c>
      <c r="Q274" s="19"/>
      <c r="R274" s="20"/>
    </row>
    <row r="275" customFormat="false" ht="15" hidden="false" customHeight="false" outlineLevel="0" collapsed="false">
      <c r="A275" s="11" t="n">
        <v>271</v>
      </c>
      <c r="B275" s="11" t="n">
        <v>128</v>
      </c>
      <c r="C275" s="11" t="n">
        <v>26</v>
      </c>
      <c r="D275" s="11" t="n">
        <v>3</v>
      </c>
      <c r="E275" s="11" t="n">
        <v>0.5</v>
      </c>
      <c r="F275" s="11" t="s">
        <v>61</v>
      </c>
      <c r="G275" s="11" t="n">
        <v>10</v>
      </c>
      <c r="H275" s="11" t="n">
        <v>10</v>
      </c>
      <c r="I275" s="16"/>
      <c r="J275" s="16"/>
      <c r="K275" s="17" t="str">
        <f aca="false">IF(AND(I275&lt;&gt;"",J275&lt;&gt;"",J275&lt;&gt;0),I275/J275,"")</f>
        <v/>
      </c>
      <c r="L275" s="16"/>
      <c r="M275" s="16"/>
      <c r="N275" s="16"/>
      <c r="O275" s="16" t="n">
        <v>1.5</v>
      </c>
      <c r="P275" s="17" t="str">
        <f aca="false">IF(AND(N275&lt;&gt;"",O275&lt;&gt;"",I275&lt;&gt;"",I275&lt;&gt;0),N275/(O275*9.81*I275),"")</f>
        <v/>
      </c>
      <c r="Q275" s="16"/>
      <c r="R275" s="18"/>
    </row>
    <row r="276" customFormat="false" ht="15" hidden="false" customHeight="false" outlineLevel="0" collapsed="false">
      <c r="A276" s="13" t="n">
        <v>272</v>
      </c>
      <c r="B276" s="13" t="n">
        <v>56</v>
      </c>
      <c r="C276" s="13" t="n">
        <v>12</v>
      </c>
      <c r="D276" s="13" t="n">
        <v>1</v>
      </c>
      <c r="E276" s="13" t="n">
        <v>0.5</v>
      </c>
      <c r="F276" s="13" t="s">
        <v>59</v>
      </c>
      <c r="G276" s="13" t="n">
        <v>2</v>
      </c>
      <c r="H276" s="13" t="n">
        <v>20</v>
      </c>
      <c r="I276" s="19"/>
      <c r="J276" s="19"/>
      <c r="K276" s="17" t="str">
        <f aca="false">IF(AND(I276&lt;&gt;"",J276&lt;&gt;"",J276&lt;&gt;0),I276/J276,"")</f>
        <v/>
      </c>
      <c r="L276" s="19"/>
      <c r="M276" s="19"/>
      <c r="N276" s="19"/>
      <c r="O276" s="19" t="n">
        <v>1.5</v>
      </c>
      <c r="P276" s="17" t="str">
        <f aca="false">IF(AND(N276&lt;&gt;"",O276&lt;&gt;"",I276&lt;&gt;"",I276&lt;&gt;0),N276/(O276*9.81*I276),"")</f>
        <v/>
      </c>
      <c r="Q276" s="19"/>
      <c r="R276" s="20"/>
    </row>
    <row r="277" customFormat="false" ht="15" hidden="false" customHeight="false" outlineLevel="0" collapsed="false">
      <c r="A277" s="11" t="n">
        <v>273</v>
      </c>
      <c r="B277" s="11" t="n">
        <v>488</v>
      </c>
      <c r="C277" s="11" t="n">
        <v>98</v>
      </c>
      <c r="D277" s="11" t="n">
        <v>3</v>
      </c>
      <c r="E277" s="11" t="n">
        <v>2</v>
      </c>
      <c r="F277" s="11" t="s">
        <v>59</v>
      </c>
      <c r="G277" s="11" t="n">
        <v>10</v>
      </c>
      <c r="H277" s="11" t="n">
        <v>10</v>
      </c>
      <c r="I277" s="16"/>
      <c r="J277" s="16"/>
      <c r="K277" s="17" t="str">
        <f aca="false">IF(AND(I277&lt;&gt;"",J277&lt;&gt;"",J277&lt;&gt;0),I277/J277,"")</f>
        <v/>
      </c>
      <c r="L277" s="16"/>
      <c r="M277" s="16"/>
      <c r="N277" s="16"/>
      <c r="O277" s="16" t="n">
        <v>1.5</v>
      </c>
      <c r="P277" s="17" t="str">
        <f aca="false">IF(AND(N277&lt;&gt;"",O277&lt;&gt;"",I277&lt;&gt;"",I277&lt;&gt;0),N277/(O277*9.81*I277),"")</f>
        <v/>
      </c>
      <c r="Q277" s="16"/>
      <c r="R277" s="18"/>
    </row>
    <row r="278" customFormat="false" ht="15" hidden="false" customHeight="false" outlineLevel="0" collapsed="false">
      <c r="A278" s="13" t="n">
        <v>274</v>
      </c>
      <c r="B278" s="13" t="n">
        <v>207</v>
      </c>
      <c r="C278" s="13" t="n">
        <v>42</v>
      </c>
      <c r="D278" s="13" t="n">
        <v>2</v>
      </c>
      <c r="E278" s="13" t="n">
        <v>1</v>
      </c>
      <c r="F278" s="13" t="s">
        <v>59</v>
      </c>
      <c r="G278" s="13" t="n">
        <v>5</v>
      </c>
      <c r="H278" s="13" t="n">
        <v>20</v>
      </c>
      <c r="I278" s="19"/>
      <c r="J278" s="19"/>
      <c r="K278" s="17" t="str">
        <f aca="false">IF(AND(I278&lt;&gt;"",J278&lt;&gt;"",J278&lt;&gt;0),I278/J278,"")</f>
        <v/>
      </c>
      <c r="L278" s="19"/>
      <c r="M278" s="19"/>
      <c r="N278" s="19"/>
      <c r="O278" s="19" t="n">
        <v>1.5</v>
      </c>
      <c r="P278" s="17" t="str">
        <f aca="false">IF(AND(N278&lt;&gt;"",O278&lt;&gt;"",I278&lt;&gt;"",I278&lt;&gt;0),N278/(O278*9.81*I278),"")</f>
        <v/>
      </c>
      <c r="Q278" s="19"/>
      <c r="R278" s="20"/>
    </row>
    <row r="279" customFormat="false" ht="15" hidden="false" customHeight="false" outlineLevel="0" collapsed="false">
      <c r="A279" s="11" t="n">
        <v>275</v>
      </c>
      <c r="B279" s="11" t="n">
        <v>32</v>
      </c>
      <c r="C279" s="11" t="n">
        <v>7</v>
      </c>
      <c r="D279" s="11" t="n">
        <v>2</v>
      </c>
      <c r="E279" s="11" t="n">
        <v>0.5</v>
      </c>
      <c r="F279" s="11" t="s">
        <v>57</v>
      </c>
      <c r="G279" s="11" t="n">
        <v>10</v>
      </c>
      <c r="H279" s="11" t="n">
        <v>0</v>
      </c>
      <c r="I279" s="16"/>
      <c r="J279" s="16"/>
      <c r="K279" s="17" t="str">
        <f aca="false">IF(AND(I279&lt;&gt;"",J279&lt;&gt;"",J279&lt;&gt;0),I279/J279,"")</f>
        <v/>
      </c>
      <c r="L279" s="16"/>
      <c r="M279" s="16"/>
      <c r="N279" s="16"/>
      <c r="O279" s="16" t="n">
        <v>1.5</v>
      </c>
      <c r="P279" s="17" t="str">
        <f aca="false">IF(AND(N279&lt;&gt;"",O279&lt;&gt;"",I279&lt;&gt;"",I279&lt;&gt;0),N279/(O279*9.81*I279),"")</f>
        <v/>
      </c>
      <c r="Q279" s="16"/>
      <c r="R279" s="18"/>
    </row>
    <row r="280" customFormat="false" ht="15" hidden="false" customHeight="false" outlineLevel="0" collapsed="false">
      <c r="A280" s="13" t="n">
        <v>276</v>
      </c>
      <c r="B280" s="13" t="n">
        <v>51</v>
      </c>
      <c r="C280" s="13" t="n">
        <v>11</v>
      </c>
      <c r="D280" s="13" t="n">
        <v>1</v>
      </c>
      <c r="E280" s="13" t="n">
        <v>0.5</v>
      </c>
      <c r="F280" s="13" t="s">
        <v>59</v>
      </c>
      <c r="G280" s="13" t="n">
        <v>2</v>
      </c>
      <c r="H280" s="13" t="n">
        <v>10</v>
      </c>
      <c r="I280" s="19"/>
      <c r="J280" s="19"/>
      <c r="K280" s="17" t="str">
        <f aca="false">IF(AND(I280&lt;&gt;"",J280&lt;&gt;"",J280&lt;&gt;0),I280/J280,"")</f>
        <v/>
      </c>
      <c r="L280" s="19"/>
      <c r="M280" s="19"/>
      <c r="N280" s="19"/>
      <c r="O280" s="19" t="n">
        <v>1.5</v>
      </c>
      <c r="P280" s="17" t="str">
        <f aca="false">IF(AND(N280&lt;&gt;"",O280&lt;&gt;"",I280&lt;&gt;"",I280&lt;&gt;0),N280/(O280*9.81*I280),"")</f>
        <v/>
      </c>
      <c r="Q280" s="19"/>
      <c r="R280" s="20"/>
    </row>
    <row r="281" customFormat="false" ht="15" hidden="false" customHeight="false" outlineLevel="0" collapsed="false">
      <c r="A281" s="11" t="n">
        <v>277</v>
      </c>
      <c r="B281" s="11" t="n">
        <v>525</v>
      </c>
      <c r="C281" s="11" t="n">
        <v>105</v>
      </c>
      <c r="D281" s="11" t="n">
        <v>5</v>
      </c>
      <c r="E281" s="11" t="n">
        <v>2</v>
      </c>
      <c r="F281" s="11" t="s">
        <v>61</v>
      </c>
      <c r="G281" s="11" t="n">
        <v>5</v>
      </c>
      <c r="H281" s="11" t="n">
        <v>20</v>
      </c>
      <c r="I281" s="16"/>
      <c r="J281" s="16"/>
      <c r="K281" s="17" t="str">
        <f aca="false">IF(AND(I281&lt;&gt;"",J281&lt;&gt;"",J281&lt;&gt;0),I281/J281,"")</f>
        <v/>
      </c>
      <c r="L281" s="16"/>
      <c r="M281" s="16"/>
      <c r="N281" s="16"/>
      <c r="O281" s="16" t="n">
        <v>1.5</v>
      </c>
      <c r="P281" s="17" t="str">
        <f aca="false">IF(AND(N281&lt;&gt;"",O281&lt;&gt;"",I281&lt;&gt;"",I281&lt;&gt;0),N281/(O281*9.81*I281),"")</f>
        <v/>
      </c>
      <c r="Q281" s="16"/>
      <c r="R281" s="18"/>
    </row>
    <row r="282" customFormat="false" ht="15" hidden="false" customHeight="false" outlineLevel="0" collapsed="false">
      <c r="A282" s="13" t="n">
        <v>278</v>
      </c>
      <c r="B282" s="13" t="n">
        <v>385</v>
      </c>
      <c r="C282" s="13" t="n">
        <v>77</v>
      </c>
      <c r="D282" s="13" t="n">
        <v>5</v>
      </c>
      <c r="E282" s="13" t="n">
        <v>1.5</v>
      </c>
      <c r="F282" s="13" t="s">
        <v>61</v>
      </c>
      <c r="G282" s="13" t="n">
        <v>5</v>
      </c>
      <c r="H282" s="13" t="n">
        <v>10</v>
      </c>
      <c r="I282" s="19"/>
      <c r="J282" s="19"/>
      <c r="K282" s="17" t="str">
        <f aca="false">IF(AND(I282&lt;&gt;"",J282&lt;&gt;"",J282&lt;&gt;0),I282/J282,"")</f>
        <v/>
      </c>
      <c r="L282" s="19"/>
      <c r="M282" s="19"/>
      <c r="N282" s="19"/>
      <c r="O282" s="19" t="n">
        <v>1.5</v>
      </c>
      <c r="P282" s="17" t="str">
        <f aca="false">IF(AND(N282&lt;&gt;"",O282&lt;&gt;"",I282&lt;&gt;"",I282&lt;&gt;0),N282/(O282*9.81*I282),"")</f>
        <v/>
      </c>
      <c r="Q282" s="19"/>
      <c r="R282" s="20"/>
    </row>
    <row r="283" customFormat="false" ht="15" hidden="false" customHeight="false" outlineLevel="0" collapsed="false">
      <c r="A283" s="11" t="n">
        <v>279</v>
      </c>
      <c r="B283" s="11" t="n">
        <v>211</v>
      </c>
      <c r="C283" s="11" t="n">
        <v>43</v>
      </c>
      <c r="D283" s="11" t="n">
        <v>1</v>
      </c>
      <c r="E283" s="11" t="n">
        <v>1</v>
      </c>
      <c r="F283" s="11" t="s">
        <v>59</v>
      </c>
      <c r="G283" s="11" t="n">
        <v>10</v>
      </c>
      <c r="H283" s="11" t="n">
        <v>0</v>
      </c>
      <c r="I283" s="16"/>
      <c r="J283" s="16"/>
      <c r="K283" s="17" t="str">
        <f aca="false">IF(AND(I283&lt;&gt;"",J283&lt;&gt;"",J283&lt;&gt;0),I283/J283,"")</f>
        <v/>
      </c>
      <c r="L283" s="16"/>
      <c r="M283" s="16"/>
      <c r="N283" s="16"/>
      <c r="O283" s="16" t="n">
        <v>1.5</v>
      </c>
      <c r="P283" s="17" t="str">
        <f aca="false">IF(AND(N283&lt;&gt;"",O283&lt;&gt;"",I283&lt;&gt;"",I283&lt;&gt;0),N283/(O283*9.81*I283),"")</f>
        <v/>
      </c>
      <c r="Q283" s="16"/>
      <c r="R283" s="18"/>
    </row>
    <row r="284" customFormat="false" ht="15" hidden="false" customHeight="false" outlineLevel="0" collapsed="false">
      <c r="A284" s="13" t="n">
        <v>280</v>
      </c>
      <c r="B284" s="13" t="n">
        <v>325</v>
      </c>
      <c r="C284" s="13" t="n">
        <v>65</v>
      </c>
      <c r="D284" s="13" t="n">
        <v>5</v>
      </c>
      <c r="E284" s="13" t="n">
        <v>1.5</v>
      </c>
      <c r="F284" s="13" t="s">
        <v>59</v>
      </c>
      <c r="G284" s="13" t="n">
        <v>2</v>
      </c>
      <c r="H284" s="13" t="n">
        <v>10</v>
      </c>
      <c r="I284" s="19"/>
      <c r="J284" s="19"/>
      <c r="K284" s="17" t="str">
        <f aca="false">IF(AND(I284&lt;&gt;"",J284&lt;&gt;"",J284&lt;&gt;0),I284/J284,"")</f>
        <v/>
      </c>
      <c r="L284" s="19"/>
      <c r="M284" s="19"/>
      <c r="N284" s="19"/>
      <c r="O284" s="19" t="n">
        <v>1.5</v>
      </c>
      <c r="P284" s="17" t="str">
        <f aca="false">IF(AND(N284&lt;&gt;"",O284&lt;&gt;"",I284&lt;&gt;"",I284&lt;&gt;0),N284/(O284*9.81*I284),"")</f>
        <v/>
      </c>
      <c r="Q284" s="19"/>
      <c r="R284" s="20"/>
    </row>
    <row r="285" customFormat="false" ht="15" hidden="false" customHeight="false" outlineLevel="0" collapsed="false">
      <c r="A285" s="11" t="n">
        <v>281</v>
      </c>
      <c r="B285" s="11" t="n">
        <v>463</v>
      </c>
      <c r="C285" s="11" t="n">
        <v>93</v>
      </c>
      <c r="D285" s="11" t="n">
        <v>3</v>
      </c>
      <c r="E285" s="11" t="n">
        <v>2</v>
      </c>
      <c r="F285" s="11" t="s">
        <v>59</v>
      </c>
      <c r="G285" s="11" t="n">
        <v>2</v>
      </c>
      <c r="H285" s="11" t="n">
        <v>20</v>
      </c>
      <c r="I285" s="16"/>
      <c r="J285" s="16"/>
      <c r="K285" s="17" t="str">
        <f aca="false">IF(AND(I285&lt;&gt;"",J285&lt;&gt;"",J285&lt;&gt;0),I285/J285,"")</f>
        <v/>
      </c>
      <c r="L285" s="16"/>
      <c r="M285" s="16"/>
      <c r="N285" s="16"/>
      <c r="O285" s="16" t="n">
        <v>1.5</v>
      </c>
      <c r="P285" s="17" t="str">
        <f aca="false">IF(AND(N285&lt;&gt;"",O285&lt;&gt;"",I285&lt;&gt;"",I285&lt;&gt;0),N285/(O285*9.81*I285),"")</f>
        <v/>
      </c>
      <c r="Q285" s="16"/>
      <c r="R285" s="18"/>
    </row>
    <row r="286" customFormat="false" ht="15" hidden="false" customHeight="false" outlineLevel="0" collapsed="false">
      <c r="A286" s="13" t="n">
        <v>282</v>
      </c>
      <c r="B286" s="13" t="n">
        <v>513</v>
      </c>
      <c r="C286" s="13" t="n">
        <v>103</v>
      </c>
      <c r="D286" s="13" t="n">
        <v>3</v>
      </c>
      <c r="E286" s="13" t="n">
        <v>2</v>
      </c>
      <c r="F286" s="13" t="s">
        <v>61</v>
      </c>
      <c r="G286" s="13" t="n">
        <v>5</v>
      </c>
      <c r="H286" s="13" t="n">
        <v>0</v>
      </c>
      <c r="I286" s="19"/>
      <c r="J286" s="19"/>
      <c r="K286" s="17" t="str">
        <f aca="false">IF(AND(I286&lt;&gt;"",J286&lt;&gt;"",J286&lt;&gt;0),I286/J286,"")</f>
        <v/>
      </c>
      <c r="L286" s="19"/>
      <c r="M286" s="19"/>
      <c r="N286" s="19"/>
      <c r="O286" s="19" t="n">
        <v>1.5</v>
      </c>
      <c r="P286" s="17" t="str">
        <f aca="false">IF(AND(N286&lt;&gt;"",O286&lt;&gt;"",I286&lt;&gt;"",I286&lt;&gt;0),N286/(O286*9.81*I286),"")</f>
        <v/>
      </c>
      <c r="Q286" s="19"/>
      <c r="R286" s="20"/>
    </row>
    <row r="287" customFormat="false" ht="15" hidden="false" customHeight="false" outlineLevel="0" collapsed="false">
      <c r="A287" s="11" t="n">
        <v>283</v>
      </c>
      <c r="B287" s="11" t="n">
        <v>508</v>
      </c>
      <c r="C287" s="11" t="n">
        <v>102</v>
      </c>
      <c r="D287" s="11" t="n">
        <v>3</v>
      </c>
      <c r="E287" s="11" t="n">
        <v>2</v>
      </c>
      <c r="F287" s="11" t="s">
        <v>61</v>
      </c>
      <c r="G287" s="11" t="n">
        <v>2</v>
      </c>
      <c r="H287" s="11" t="n">
        <v>20</v>
      </c>
      <c r="I287" s="16"/>
      <c r="J287" s="16"/>
      <c r="K287" s="17" t="str">
        <f aca="false">IF(AND(I287&lt;&gt;"",J287&lt;&gt;"",J287&lt;&gt;0),I287/J287,"")</f>
        <v/>
      </c>
      <c r="L287" s="16"/>
      <c r="M287" s="16"/>
      <c r="N287" s="16"/>
      <c r="O287" s="16" t="n">
        <v>1.5</v>
      </c>
      <c r="P287" s="17" t="str">
        <f aca="false">IF(AND(N287&lt;&gt;"",O287&lt;&gt;"",I287&lt;&gt;"",I287&lt;&gt;0),N287/(O287*9.81*I287),"")</f>
        <v/>
      </c>
      <c r="Q287" s="16"/>
      <c r="R287" s="18"/>
    </row>
    <row r="288" customFormat="false" ht="15" hidden="false" customHeight="false" outlineLevel="0" collapsed="false">
      <c r="A288" s="13" t="n">
        <v>284</v>
      </c>
      <c r="B288" s="13" t="n">
        <v>49</v>
      </c>
      <c r="C288" s="13" t="n">
        <v>10</v>
      </c>
      <c r="D288" s="13" t="n">
        <v>4</v>
      </c>
      <c r="E288" s="13" t="n">
        <v>0.5</v>
      </c>
      <c r="F288" s="13" t="s">
        <v>59</v>
      </c>
      <c r="G288" s="13" t="n">
        <v>2</v>
      </c>
      <c r="H288" s="13" t="n">
        <v>0</v>
      </c>
      <c r="I288" s="19"/>
      <c r="J288" s="19"/>
      <c r="K288" s="17" t="str">
        <f aca="false">IF(AND(I288&lt;&gt;"",J288&lt;&gt;"",J288&lt;&gt;0),I288/J288,"")</f>
        <v/>
      </c>
      <c r="L288" s="19"/>
      <c r="M288" s="19"/>
      <c r="N288" s="19"/>
      <c r="O288" s="19" t="n">
        <v>1.5</v>
      </c>
      <c r="P288" s="17" t="str">
        <f aca="false">IF(AND(N288&lt;&gt;"",O288&lt;&gt;"",I288&lt;&gt;"",I288&lt;&gt;0),N288/(O288*9.81*I288),"")</f>
        <v/>
      </c>
      <c r="Q288" s="19"/>
      <c r="R288" s="20"/>
    </row>
    <row r="289" customFormat="false" ht="15" hidden="false" customHeight="false" outlineLevel="0" collapsed="false">
      <c r="A289" s="11" t="n">
        <v>285</v>
      </c>
      <c r="B289" s="11" t="n">
        <v>98</v>
      </c>
      <c r="C289" s="11" t="n">
        <v>20</v>
      </c>
      <c r="D289" s="11" t="n">
        <v>3</v>
      </c>
      <c r="E289" s="11" t="n">
        <v>0.5</v>
      </c>
      <c r="F289" s="11" t="s">
        <v>61</v>
      </c>
      <c r="G289" s="11" t="n">
        <v>2</v>
      </c>
      <c r="H289" s="11" t="n">
        <v>10</v>
      </c>
      <c r="I289" s="16"/>
      <c r="J289" s="16"/>
      <c r="K289" s="17" t="str">
        <f aca="false">IF(AND(I289&lt;&gt;"",J289&lt;&gt;"",J289&lt;&gt;0),I289/J289,"")</f>
        <v/>
      </c>
      <c r="L289" s="16"/>
      <c r="M289" s="16"/>
      <c r="N289" s="16"/>
      <c r="O289" s="16" t="n">
        <v>1.5</v>
      </c>
      <c r="P289" s="17" t="str">
        <f aca="false">IF(AND(N289&lt;&gt;"",O289&lt;&gt;"",I289&lt;&gt;"",I289&lt;&gt;0),N289/(O289*9.81*I289),"")</f>
        <v/>
      </c>
      <c r="Q289" s="16"/>
      <c r="R289" s="18"/>
    </row>
    <row r="290" customFormat="false" ht="15" hidden="false" customHeight="false" outlineLevel="0" collapsed="false">
      <c r="A290" s="13" t="n">
        <v>286</v>
      </c>
      <c r="B290" s="13" t="n">
        <v>209</v>
      </c>
      <c r="C290" s="13" t="n">
        <v>42</v>
      </c>
      <c r="D290" s="13" t="n">
        <v>4</v>
      </c>
      <c r="E290" s="13" t="n">
        <v>1</v>
      </c>
      <c r="F290" s="13" t="s">
        <v>59</v>
      </c>
      <c r="G290" s="13" t="n">
        <v>5</v>
      </c>
      <c r="H290" s="13" t="n">
        <v>20</v>
      </c>
      <c r="I290" s="19"/>
      <c r="J290" s="19"/>
      <c r="K290" s="17" t="str">
        <f aca="false">IF(AND(I290&lt;&gt;"",J290&lt;&gt;"",J290&lt;&gt;0),I290/J290,"")</f>
        <v/>
      </c>
      <c r="L290" s="19"/>
      <c r="M290" s="19"/>
      <c r="N290" s="19"/>
      <c r="O290" s="19" t="n">
        <v>1.5</v>
      </c>
      <c r="P290" s="17" t="str">
        <f aca="false">IF(AND(N290&lt;&gt;"",O290&lt;&gt;"",I290&lt;&gt;"",I290&lt;&gt;0),N290/(O290*9.81*I290),"")</f>
        <v/>
      </c>
      <c r="Q290" s="19"/>
      <c r="R290" s="20"/>
    </row>
    <row r="291" customFormat="false" ht="15" hidden="false" customHeight="false" outlineLevel="0" collapsed="false">
      <c r="A291" s="11" t="n">
        <v>287</v>
      </c>
      <c r="B291" s="11" t="n">
        <v>289</v>
      </c>
      <c r="C291" s="11" t="n">
        <v>58</v>
      </c>
      <c r="D291" s="11" t="n">
        <v>4</v>
      </c>
      <c r="E291" s="11" t="n">
        <v>1.5</v>
      </c>
      <c r="F291" s="11" t="s">
        <v>57</v>
      </c>
      <c r="G291" s="11" t="n">
        <v>5</v>
      </c>
      <c r="H291" s="11" t="n">
        <v>0</v>
      </c>
      <c r="I291" s="16"/>
      <c r="J291" s="16"/>
      <c r="K291" s="17" t="str">
        <f aca="false">IF(AND(I291&lt;&gt;"",J291&lt;&gt;"",J291&lt;&gt;0),I291/J291,"")</f>
        <v/>
      </c>
      <c r="L291" s="16"/>
      <c r="M291" s="16"/>
      <c r="N291" s="16"/>
      <c r="O291" s="16" t="n">
        <v>1.5</v>
      </c>
      <c r="P291" s="17" t="str">
        <f aca="false">IF(AND(N291&lt;&gt;"",O291&lt;&gt;"",I291&lt;&gt;"",I291&lt;&gt;0),N291/(O291*9.81*I291),"")</f>
        <v/>
      </c>
      <c r="Q291" s="16"/>
      <c r="R291" s="18"/>
    </row>
    <row r="292" customFormat="false" ht="15" hidden="false" customHeight="false" outlineLevel="0" collapsed="false">
      <c r="A292" s="13" t="n">
        <v>288</v>
      </c>
      <c r="B292" s="13" t="n">
        <v>125</v>
      </c>
      <c r="C292" s="13" t="n">
        <v>25</v>
      </c>
      <c r="D292" s="13" t="n">
        <v>5</v>
      </c>
      <c r="E292" s="13" t="n">
        <v>0.5</v>
      </c>
      <c r="F292" s="13" t="s">
        <v>61</v>
      </c>
      <c r="G292" s="13" t="n">
        <v>10</v>
      </c>
      <c r="H292" s="13" t="n">
        <v>0</v>
      </c>
      <c r="I292" s="19"/>
      <c r="J292" s="19"/>
      <c r="K292" s="17" t="str">
        <f aca="false">IF(AND(I292&lt;&gt;"",J292&lt;&gt;"",J292&lt;&gt;0),I292/J292,"")</f>
        <v/>
      </c>
      <c r="L292" s="19"/>
      <c r="M292" s="19"/>
      <c r="N292" s="19"/>
      <c r="O292" s="19" t="n">
        <v>1.5</v>
      </c>
      <c r="P292" s="17" t="str">
        <f aca="false">IF(AND(N292&lt;&gt;"",O292&lt;&gt;"",I292&lt;&gt;"",I292&lt;&gt;0),N292/(O292*9.81*I292),"")</f>
        <v/>
      </c>
      <c r="Q292" s="19"/>
      <c r="R292" s="20"/>
    </row>
    <row r="293" customFormat="false" ht="15" hidden="false" customHeight="false" outlineLevel="0" collapsed="false">
      <c r="A293" s="11" t="n">
        <v>289</v>
      </c>
      <c r="B293" s="11" t="n">
        <v>243</v>
      </c>
      <c r="C293" s="11" t="n">
        <v>49</v>
      </c>
      <c r="D293" s="11" t="n">
        <v>3</v>
      </c>
      <c r="E293" s="11" t="n">
        <v>1</v>
      </c>
      <c r="F293" s="11" t="s">
        <v>61</v>
      </c>
      <c r="G293" s="11" t="n">
        <v>5</v>
      </c>
      <c r="H293" s="11" t="n">
        <v>0</v>
      </c>
      <c r="I293" s="16"/>
      <c r="J293" s="16"/>
      <c r="K293" s="17" t="str">
        <f aca="false">IF(AND(I293&lt;&gt;"",J293&lt;&gt;"",J293&lt;&gt;0),I293/J293,"")</f>
        <v/>
      </c>
      <c r="L293" s="16"/>
      <c r="M293" s="16"/>
      <c r="N293" s="16"/>
      <c r="O293" s="16" t="n">
        <v>1.5</v>
      </c>
      <c r="P293" s="17" t="str">
        <f aca="false">IF(AND(N293&lt;&gt;"",O293&lt;&gt;"",I293&lt;&gt;"",I293&lt;&gt;0),N293/(O293*9.81*I293),"")</f>
        <v/>
      </c>
      <c r="Q293" s="16"/>
      <c r="R293" s="18"/>
    </row>
    <row r="294" customFormat="false" ht="15" hidden="false" customHeight="false" outlineLevel="0" collapsed="false">
      <c r="A294" s="13" t="n">
        <v>290</v>
      </c>
      <c r="B294" s="13" t="n">
        <v>68</v>
      </c>
      <c r="C294" s="13" t="n">
        <v>14</v>
      </c>
      <c r="D294" s="13" t="n">
        <v>3</v>
      </c>
      <c r="E294" s="13" t="n">
        <v>0.5</v>
      </c>
      <c r="F294" s="13" t="s">
        <v>59</v>
      </c>
      <c r="G294" s="13" t="n">
        <v>5</v>
      </c>
      <c r="H294" s="13" t="n">
        <v>10</v>
      </c>
      <c r="I294" s="19"/>
      <c r="J294" s="19"/>
      <c r="K294" s="17" t="str">
        <f aca="false">IF(AND(I294&lt;&gt;"",J294&lt;&gt;"",J294&lt;&gt;0),I294/J294,"")</f>
        <v/>
      </c>
      <c r="L294" s="19"/>
      <c r="M294" s="19"/>
      <c r="N294" s="19"/>
      <c r="O294" s="19" t="n">
        <v>1.5</v>
      </c>
      <c r="P294" s="17" t="str">
        <f aca="false">IF(AND(N294&lt;&gt;"",O294&lt;&gt;"",I294&lt;&gt;"",I294&lt;&gt;0),N294/(O294*9.81*I294),"")</f>
        <v/>
      </c>
      <c r="Q294" s="19"/>
      <c r="R294" s="20"/>
    </row>
    <row r="295" customFormat="false" ht="15" hidden="false" customHeight="false" outlineLevel="0" collapsed="false">
      <c r="A295" s="11" t="n">
        <v>291</v>
      </c>
      <c r="B295" s="11" t="n">
        <v>323</v>
      </c>
      <c r="C295" s="11" t="n">
        <v>65</v>
      </c>
      <c r="D295" s="11" t="n">
        <v>3</v>
      </c>
      <c r="E295" s="11" t="n">
        <v>1.5</v>
      </c>
      <c r="F295" s="11" t="s">
        <v>59</v>
      </c>
      <c r="G295" s="11" t="n">
        <v>2</v>
      </c>
      <c r="H295" s="11" t="n">
        <v>10</v>
      </c>
      <c r="I295" s="16"/>
      <c r="J295" s="16"/>
      <c r="K295" s="17" t="str">
        <f aca="false">IF(AND(I295&lt;&gt;"",J295&lt;&gt;"",J295&lt;&gt;0),I295/J295,"")</f>
        <v/>
      </c>
      <c r="L295" s="16"/>
      <c r="M295" s="16"/>
      <c r="N295" s="16"/>
      <c r="O295" s="16" t="n">
        <v>1.5</v>
      </c>
      <c r="P295" s="17" t="str">
        <f aca="false">IF(AND(N295&lt;&gt;"",O295&lt;&gt;"",I295&lt;&gt;"",I295&lt;&gt;0),N295/(O295*9.81*I295),"")</f>
        <v/>
      </c>
      <c r="Q295" s="16"/>
      <c r="R295" s="18"/>
    </row>
    <row r="296" customFormat="false" ht="15" hidden="false" customHeight="false" outlineLevel="0" collapsed="false">
      <c r="A296" s="13" t="n">
        <v>292</v>
      </c>
      <c r="B296" s="13" t="n">
        <v>110</v>
      </c>
      <c r="C296" s="13" t="n">
        <v>22</v>
      </c>
      <c r="D296" s="13" t="n">
        <v>5</v>
      </c>
      <c r="E296" s="13" t="n">
        <v>0.5</v>
      </c>
      <c r="F296" s="13" t="s">
        <v>61</v>
      </c>
      <c r="G296" s="13" t="n">
        <v>5</v>
      </c>
      <c r="H296" s="13" t="n">
        <v>0</v>
      </c>
      <c r="I296" s="19"/>
      <c r="J296" s="19"/>
      <c r="K296" s="17" t="str">
        <f aca="false">IF(AND(I296&lt;&gt;"",J296&lt;&gt;"",J296&lt;&gt;0),I296/J296,"")</f>
        <v/>
      </c>
      <c r="L296" s="19"/>
      <c r="M296" s="19"/>
      <c r="N296" s="19"/>
      <c r="O296" s="19" t="n">
        <v>1.5</v>
      </c>
      <c r="P296" s="17" t="str">
        <f aca="false">IF(AND(N296&lt;&gt;"",O296&lt;&gt;"",I296&lt;&gt;"",I296&lt;&gt;0),N296/(O296*9.81*I296),"")</f>
        <v/>
      </c>
      <c r="Q296" s="19"/>
      <c r="R296" s="20"/>
    </row>
    <row r="297" customFormat="false" ht="15" hidden="false" customHeight="false" outlineLevel="0" collapsed="false">
      <c r="A297" s="11" t="n">
        <v>293</v>
      </c>
      <c r="B297" s="11" t="n">
        <v>422</v>
      </c>
      <c r="C297" s="11" t="n">
        <v>85</v>
      </c>
      <c r="D297" s="11" t="n">
        <v>2</v>
      </c>
      <c r="E297" s="11" t="n">
        <v>2</v>
      </c>
      <c r="F297" s="11" t="s">
        <v>57</v>
      </c>
      <c r="G297" s="11" t="n">
        <v>5</v>
      </c>
      <c r="H297" s="11" t="n">
        <v>0</v>
      </c>
      <c r="I297" s="16"/>
      <c r="J297" s="16"/>
      <c r="K297" s="17" t="str">
        <f aca="false">IF(AND(I297&lt;&gt;"",J297&lt;&gt;"",J297&lt;&gt;0),I297/J297,"")</f>
        <v/>
      </c>
      <c r="L297" s="16"/>
      <c r="M297" s="16"/>
      <c r="N297" s="16"/>
      <c r="O297" s="16" t="n">
        <v>1.5</v>
      </c>
      <c r="P297" s="17" t="str">
        <f aca="false">IF(AND(N297&lt;&gt;"",O297&lt;&gt;"",I297&lt;&gt;"",I297&lt;&gt;0),N297/(O297*9.81*I297),"")</f>
        <v/>
      </c>
      <c r="Q297" s="16"/>
      <c r="R297" s="18"/>
    </row>
    <row r="298" customFormat="false" ht="15" hidden="false" customHeight="false" outlineLevel="0" collapsed="false">
      <c r="A298" s="13" t="n">
        <v>294</v>
      </c>
      <c r="B298" s="13" t="n">
        <v>470</v>
      </c>
      <c r="C298" s="13" t="n">
        <v>94</v>
      </c>
      <c r="D298" s="13" t="n">
        <v>5</v>
      </c>
      <c r="E298" s="13" t="n">
        <v>2</v>
      </c>
      <c r="F298" s="13" t="s">
        <v>59</v>
      </c>
      <c r="G298" s="13" t="n">
        <v>5</v>
      </c>
      <c r="H298" s="13" t="n">
        <v>0</v>
      </c>
      <c r="I298" s="19"/>
      <c r="J298" s="19"/>
      <c r="K298" s="17" t="str">
        <f aca="false">IF(AND(I298&lt;&gt;"",J298&lt;&gt;"",J298&lt;&gt;0),I298/J298,"")</f>
        <v/>
      </c>
      <c r="L298" s="19"/>
      <c r="M298" s="19"/>
      <c r="N298" s="19"/>
      <c r="O298" s="19" t="n">
        <v>1.5</v>
      </c>
      <c r="P298" s="17" t="str">
        <f aca="false">IF(AND(N298&lt;&gt;"",O298&lt;&gt;"",I298&lt;&gt;"",I298&lt;&gt;0),N298/(O298*9.81*I298),"")</f>
        <v/>
      </c>
      <c r="Q298" s="19"/>
      <c r="R298" s="20"/>
    </row>
    <row r="299" customFormat="false" ht="15" hidden="false" customHeight="false" outlineLevel="0" collapsed="false">
      <c r="A299" s="11" t="n">
        <v>295</v>
      </c>
      <c r="B299" s="11" t="n">
        <v>122</v>
      </c>
      <c r="C299" s="11" t="n">
        <v>25</v>
      </c>
      <c r="D299" s="11" t="n">
        <v>2</v>
      </c>
      <c r="E299" s="11" t="n">
        <v>0.5</v>
      </c>
      <c r="F299" s="11" t="s">
        <v>61</v>
      </c>
      <c r="G299" s="11" t="n">
        <v>10</v>
      </c>
      <c r="H299" s="11" t="n">
        <v>0</v>
      </c>
      <c r="I299" s="16"/>
      <c r="J299" s="16"/>
      <c r="K299" s="17" t="str">
        <f aca="false">IF(AND(I299&lt;&gt;"",J299&lt;&gt;"",J299&lt;&gt;0),I299/J299,"")</f>
        <v/>
      </c>
      <c r="L299" s="16"/>
      <c r="M299" s="16"/>
      <c r="N299" s="16"/>
      <c r="O299" s="16" t="n">
        <v>1.5</v>
      </c>
      <c r="P299" s="17" t="str">
        <f aca="false">IF(AND(N299&lt;&gt;"",O299&lt;&gt;"",I299&lt;&gt;"",I299&lt;&gt;0),N299/(O299*9.81*I299),"")</f>
        <v/>
      </c>
      <c r="Q299" s="16"/>
      <c r="R299" s="18"/>
    </row>
    <row r="300" customFormat="false" ht="15" hidden="false" customHeight="false" outlineLevel="0" collapsed="false">
      <c r="A300" s="13" t="n">
        <v>296</v>
      </c>
      <c r="B300" s="13" t="n">
        <v>264</v>
      </c>
      <c r="C300" s="13" t="n">
        <v>53</v>
      </c>
      <c r="D300" s="13" t="n">
        <v>4</v>
      </c>
      <c r="E300" s="13" t="n">
        <v>1</v>
      </c>
      <c r="F300" s="13" t="s">
        <v>61</v>
      </c>
      <c r="G300" s="13" t="n">
        <v>10</v>
      </c>
      <c r="H300" s="13" t="n">
        <v>10</v>
      </c>
      <c r="I300" s="19"/>
      <c r="J300" s="19"/>
      <c r="K300" s="17" t="str">
        <f aca="false">IF(AND(I300&lt;&gt;"",J300&lt;&gt;"",J300&lt;&gt;0),I300/J300,"")</f>
        <v/>
      </c>
      <c r="L300" s="19"/>
      <c r="M300" s="19"/>
      <c r="N300" s="19"/>
      <c r="O300" s="19" t="n">
        <v>1.5</v>
      </c>
      <c r="P300" s="17" t="str">
        <f aca="false">IF(AND(N300&lt;&gt;"",O300&lt;&gt;"",I300&lt;&gt;"",I300&lt;&gt;0),N300/(O300*9.81*I300),"")</f>
        <v/>
      </c>
      <c r="Q300" s="19"/>
      <c r="R300" s="20"/>
    </row>
    <row r="301" customFormat="false" ht="15" hidden="false" customHeight="false" outlineLevel="0" collapsed="false">
      <c r="A301" s="11" t="n">
        <v>297</v>
      </c>
      <c r="B301" s="11" t="n">
        <v>303</v>
      </c>
      <c r="C301" s="11" t="n">
        <v>61</v>
      </c>
      <c r="D301" s="11" t="n">
        <v>3</v>
      </c>
      <c r="E301" s="11" t="n">
        <v>1.5</v>
      </c>
      <c r="F301" s="11" t="s">
        <v>57</v>
      </c>
      <c r="G301" s="11" t="n">
        <v>10</v>
      </c>
      <c r="H301" s="11" t="n">
        <v>0</v>
      </c>
      <c r="I301" s="16"/>
      <c r="J301" s="16"/>
      <c r="K301" s="17" t="str">
        <f aca="false">IF(AND(I301&lt;&gt;"",J301&lt;&gt;"",J301&lt;&gt;0),I301/J301,"")</f>
        <v/>
      </c>
      <c r="L301" s="16"/>
      <c r="M301" s="16"/>
      <c r="N301" s="16"/>
      <c r="O301" s="16" t="n">
        <v>1.5</v>
      </c>
      <c r="P301" s="17" t="str">
        <f aca="false">IF(AND(N301&lt;&gt;"",O301&lt;&gt;"",I301&lt;&gt;"",I301&lt;&gt;0),N301/(O301*9.81*I301),"")</f>
        <v/>
      </c>
      <c r="Q301" s="16"/>
      <c r="R301" s="18"/>
    </row>
    <row r="302" customFormat="false" ht="15" hidden="false" customHeight="false" outlineLevel="0" collapsed="false">
      <c r="A302" s="13" t="n">
        <v>298</v>
      </c>
      <c r="B302" s="13" t="n">
        <v>170</v>
      </c>
      <c r="C302" s="13" t="n">
        <v>34</v>
      </c>
      <c r="D302" s="13" t="n">
        <v>5</v>
      </c>
      <c r="E302" s="13" t="n">
        <v>1</v>
      </c>
      <c r="F302" s="13" t="s">
        <v>57</v>
      </c>
      <c r="G302" s="13" t="n">
        <v>10</v>
      </c>
      <c r="H302" s="13" t="n">
        <v>0</v>
      </c>
      <c r="I302" s="19"/>
      <c r="J302" s="19"/>
      <c r="K302" s="17" t="str">
        <f aca="false">IF(AND(I302&lt;&gt;"",J302&lt;&gt;"",J302&lt;&gt;0),I302/J302,"")</f>
        <v/>
      </c>
      <c r="L302" s="19"/>
      <c r="M302" s="19"/>
      <c r="N302" s="19"/>
      <c r="O302" s="19" t="n">
        <v>1.5</v>
      </c>
      <c r="P302" s="17" t="str">
        <f aca="false">IF(AND(N302&lt;&gt;"",O302&lt;&gt;"",I302&lt;&gt;"",I302&lt;&gt;0),N302/(O302*9.81*I302),"")</f>
        <v/>
      </c>
      <c r="Q302" s="19"/>
      <c r="R302" s="20"/>
    </row>
    <row r="303" customFormat="false" ht="15" hidden="false" customHeight="false" outlineLevel="0" collapsed="false">
      <c r="A303" s="11" t="n">
        <v>299</v>
      </c>
      <c r="B303" s="11" t="n">
        <v>517</v>
      </c>
      <c r="C303" s="11" t="n">
        <v>104</v>
      </c>
      <c r="D303" s="11" t="n">
        <v>2</v>
      </c>
      <c r="E303" s="11" t="n">
        <v>2</v>
      </c>
      <c r="F303" s="11" t="s">
        <v>61</v>
      </c>
      <c r="G303" s="11" t="n">
        <v>5</v>
      </c>
      <c r="H303" s="11" t="n">
        <v>10</v>
      </c>
      <c r="I303" s="16"/>
      <c r="J303" s="16"/>
      <c r="K303" s="17" t="str">
        <f aca="false">IF(AND(I303&lt;&gt;"",J303&lt;&gt;"",J303&lt;&gt;0),I303/J303,"")</f>
        <v/>
      </c>
      <c r="L303" s="16"/>
      <c r="M303" s="16"/>
      <c r="N303" s="16"/>
      <c r="O303" s="16" t="n">
        <v>1.5</v>
      </c>
      <c r="P303" s="17" t="str">
        <f aca="false">IF(AND(N303&lt;&gt;"",O303&lt;&gt;"",I303&lt;&gt;"",I303&lt;&gt;0),N303/(O303*9.81*I303),"")</f>
        <v/>
      </c>
      <c r="Q303" s="16"/>
      <c r="R303" s="18"/>
    </row>
    <row r="304" customFormat="false" ht="15" hidden="false" customHeight="false" outlineLevel="0" collapsed="false">
      <c r="A304" s="13" t="n">
        <v>300</v>
      </c>
      <c r="B304" s="13" t="n">
        <v>35</v>
      </c>
      <c r="C304" s="13" t="n">
        <v>7</v>
      </c>
      <c r="D304" s="13" t="n">
        <v>5</v>
      </c>
      <c r="E304" s="13" t="n">
        <v>0.5</v>
      </c>
      <c r="F304" s="13" t="s">
        <v>57</v>
      </c>
      <c r="G304" s="13" t="n">
        <v>10</v>
      </c>
      <c r="H304" s="13" t="n">
        <v>0</v>
      </c>
      <c r="I304" s="19"/>
      <c r="J304" s="19"/>
      <c r="K304" s="17" t="str">
        <f aca="false">IF(AND(I304&lt;&gt;"",J304&lt;&gt;"",J304&lt;&gt;0),I304/J304,"")</f>
        <v/>
      </c>
      <c r="L304" s="19"/>
      <c r="M304" s="19"/>
      <c r="N304" s="19"/>
      <c r="O304" s="19" t="n">
        <v>1.5</v>
      </c>
      <c r="P304" s="17" t="str">
        <f aca="false">IF(AND(N304&lt;&gt;"",O304&lt;&gt;"",I304&lt;&gt;"",I304&lt;&gt;0),N304/(O304*9.81*I304),"")</f>
        <v/>
      </c>
      <c r="Q304" s="19"/>
      <c r="R304" s="20"/>
    </row>
    <row r="305" customFormat="false" ht="15" hidden="false" customHeight="false" outlineLevel="0" collapsed="false">
      <c r="A305" s="11" t="n">
        <v>301</v>
      </c>
      <c r="B305" s="11" t="n">
        <v>380</v>
      </c>
      <c r="C305" s="11" t="n">
        <v>76</v>
      </c>
      <c r="D305" s="11" t="n">
        <v>5</v>
      </c>
      <c r="E305" s="11" t="n">
        <v>1.5</v>
      </c>
      <c r="F305" s="11" t="s">
        <v>61</v>
      </c>
      <c r="G305" s="11" t="n">
        <v>5</v>
      </c>
      <c r="H305" s="11" t="n">
        <v>0</v>
      </c>
      <c r="I305" s="16"/>
      <c r="J305" s="16"/>
      <c r="K305" s="17" t="str">
        <f aca="false">IF(AND(I305&lt;&gt;"",J305&lt;&gt;"",J305&lt;&gt;0),I305/J305,"")</f>
        <v/>
      </c>
      <c r="L305" s="16"/>
      <c r="M305" s="16"/>
      <c r="N305" s="16"/>
      <c r="O305" s="16" t="n">
        <v>1.5</v>
      </c>
      <c r="P305" s="17" t="str">
        <f aca="false">IF(AND(N305&lt;&gt;"",O305&lt;&gt;"",I305&lt;&gt;"",I305&lt;&gt;0),N305/(O305*9.81*I305),"")</f>
        <v/>
      </c>
      <c r="Q305" s="16"/>
      <c r="R305" s="18"/>
    </row>
    <row r="306" customFormat="false" ht="15" hidden="false" customHeight="false" outlineLevel="0" collapsed="false">
      <c r="A306" s="13" t="n">
        <v>302</v>
      </c>
      <c r="B306" s="13" t="n">
        <v>530</v>
      </c>
      <c r="C306" s="13" t="n">
        <v>106</v>
      </c>
      <c r="D306" s="13" t="n">
        <v>5</v>
      </c>
      <c r="E306" s="13" t="n">
        <v>2</v>
      </c>
      <c r="F306" s="13" t="s">
        <v>61</v>
      </c>
      <c r="G306" s="13" t="n">
        <v>10</v>
      </c>
      <c r="H306" s="13" t="n">
        <v>0</v>
      </c>
      <c r="I306" s="19"/>
      <c r="J306" s="19"/>
      <c r="K306" s="17" t="str">
        <f aca="false">IF(AND(I306&lt;&gt;"",J306&lt;&gt;"",J306&lt;&gt;0),I306/J306,"")</f>
        <v/>
      </c>
      <c r="L306" s="19"/>
      <c r="M306" s="19"/>
      <c r="N306" s="19"/>
      <c r="O306" s="19" t="n">
        <v>1.5</v>
      </c>
      <c r="P306" s="17" t="str">
        <f aca="false">IF(AND(N306&lt;&gt;"",O306&lt;&gt;"",I306&lt;&gt;"",I306&lt;&gt;0),N306/(O306*9.81*I306),"")</f>
        <v/>
      </c>
      <c r="Q306" s="19"/>
      <c r="R306" s="20"/>
    </row>
    <row r="307" customFormat="false" ht="15" hidden="false" customHeight="false" outlineLevel="0" collapsed="false">
      <c r="A307" s="11" t="n">
        <v>303</v>
      </c>
      <c r="B307" s="11" t="n">
        <v>456</v>
      </c>
      <c r="C307" s="11" t="n">
        <v>92</v>
      </c>
      <c r="D307" s="11" t="n">
        <v>1</v>
      </c>
      <c r="E307" s="11" t="n">
        <v>2</v>
      </c>
      <c r="F307" s="11" t="s">
        <v>59</v>
      </c>
      <c r="G307" s="11" t="n">
        <v>2</v>
      </c>
      <c r="H307" s="11" t="n">
        <v>10</v>
      </c>
      <c r="I307" s="16"/>
      <c r="J307" s="16"/>
      <c r="K307" s="17" t="str">
        <f aca="false">IF(AND(I307&lt;&gt;"",J307&lt;&gt;"",J307&lt;&gt;0),I307/J307,"")</f>
        <v/>
      </c>
      <c r="L307" s="16"/>
      <c r="M307" s="16"/>
      <c r="N307" s="16"/>
      <c r="O307" s="16" t="n">
        <v>1.5</v>
      </c>
      <c r="P307" s="17" t="str">
        <f aca="false">IF(AND(N307&lt;&gt;"",O307&lt;&gt;"",I307&lt;&gt;"",I307&lt;&gt;0),N307/(O307*9.81*I307),"")</f>
        <v/>
      </c>
      <c r="Q307" s="16"/>
      <c r="R307" s="18"/>
    </row>
    <row r="308" customFormat="false" ht="15" hidden="false" customHeight="false" outlineLevel="0" collapsed="false">
      <c r="A308" s="13" t="n">
        <v>304</v>
      </c>
      <c r="B308" s="13" t="n">
        <v>4</v>
      </c>
      <c r="C308" s="13" t="n">
        <v>1</v>
      </c>
      <c r="D308" s="13" t="n">
        <v>4</v>
      </c>
      <c r="E308" s="13" t="n">
        <v>0.5</v>
      </c>
      <c r="F308" s="13" t="s">
        <v>57</v>
      </c>
      <c r="G308" s="13" t="n">
        <v>2</v>
      </c>
      <c r="H308" s="13" t="n">
        <v>0</v>
      </c>
      <c r="I308" s="19"/>
      <c r="J308" s="19"/>
      <c r="K308" s="17" t="str">
        <f aca="false">IF(AND(I308&lt;&gt;"",J308&lt;&gt;"",J308&lt;&gt;0),I308/J308,"")</f>
        <v/>
      </c>
      <c r="L308" s="19"/>
      <c r="M308" s="19"/>
      <c r="N308" s="19"/>
      <c r="O308" s="19" t="n">
        <v>1.5</v>
      </c>
      <c r="P308" s="17" t="str">
        <f aca="false">IF(AND(N308&lt;&gt;"",O308&lt;&gt;"",I308&lt;&gt;"",I308&lt;&gt;0),N308/(O308*9.81*I308),"")</f>
        <v/>
      </c>
      <c r="Q308" s="19"/>
      <c r="R308" s="20"/>
    </row>
    <row r="309" customFormat="false" ht="15" hidden="false" customHeight="false" outlineLevel="0" collapsed="false">
      <c r="A309" s="11" t="n">
        <v>305</v>
      </c>
      <c r="B309" s="11" t="n">
        <v>403</v>
      </c>
      <c r="C309" s="11" t="n">
        <v>81</v>
      </c>
      <c r="D309" s="11" t="n">
        <v>3</v>
      </c>
      <c r="E309" s="11" t="n">
        <v>1.5</v>
      </c>
      <c r="F309" s="11" t="s">
        <v>61</v>
      </c>
      <c r="G309" s="11" t="n">
        <v>10</v>
      </c>
      <c r="H309" s="11" t="n">
        <v>20</v>
      </c>
      <c r="I309" s="16"/>
      <c r="J309" s="16"/>
      <c r="K309" s="17" t="str">
        <f aca="false">IF(AND(I309&lt;&gt;"",J309&lt;&gt;"",J309&lt;&gt;0),I309/J309,"")</f>
        <v/>
      </c>
      <c r="L309" s="16"/>
      <c r="M309" s="16"/>
      <c r="N309" s="16"/>
      <c r="O309" s="16" t="n">
        <v>1.5</v>
      </c>
      <c r="P309" s="17" t="str">
        <f aca="false">IF(AND(N309&lt;&gt;"",O309&lt;&gt;"",I309&lt;&gt;"",I309&lt;&gt;0),N309/(O309*9.81*I309),"")</f>
        <v/>
      </c>
      <c r="Q309" s="16"/>
      <c r="R309" s="18"/>
    </row>
    <row r="310" customFormat="false" ht="15" hidden="false" customHeight="false" outlineLevel="0" collapsed="false">
      <c r="A310" s="13" t="n">
        <v>306</v>
      </c>
      <c r="B310" s="13" t="n">
        <v>309</v>
      </c>
      <c r="C310" s="13" t="n">
        <v>62</v>
      </c>
      <c r="D310" s="13" t="n">
        <v>4</v>
      </c>
      <c r="E310" s="13" t="n">
        <v>1.5</v>
      </c>
      <c r="F310" s="13" t="s">
        <v>57</v>
      </c>
      <c r="G310" s="13" t="n">
        <v>10</v>
      </c>
      <c r="H310" s="13" t="n">
        <v>10</v>
      </c>
      <c r="I310" s="19"/>
      <c r="J310" s="19"/>
      <c r="K310" s="17" t="str">
        <f aca="false">IF(AND(I310&lt;&gt;"",J310&lt;&gt;"",J310&lt;&gt;0),I310/J310,"")</f>
        <v/>
      </c>
      <c r="L310" s="19"/>
      <c r="M310" s="19"/>
      <c r="N310" s="19"/>
      <c r="O310" s="19" t="n">
        <v>1.5</v>
      </c>
      <c r="P310" s="17" t="str">
        <f aca="false">IF(AND(N310&lt;&gt;"",O310&lt;&gt;"",I310&lt;&gt;"",I310&lt;&gt;0),N310/(O310*9.81*I310),"")</f>
        <v/>
      </c>
      <c r="Q310" s="19"/>
      <c r="R310" s="20"/>
    </row>
    <row r="311" customFormat="false" ht="15" hidden="false" customHeight="false" outlineLevel="0" collapsed="false">
      <c r="A311" s="11" t="n">
        <v>307</v>
      </c>
      <c r="B311" s="11" t="n">
        <v>435</v>
      </c>
      <c r="C311" s="11" t="n">
        <v>87</v>
      </c>
      <c r="D311" s="11" t="n">
        <v>5</v>
      </c>
      <c r="E311" s="11" t="n">
        <v>2</v>
      </c>
      <c r="F311" s="11" t="s">
        <v>57</v>
      </c>
      <c r="G311" s="11" t="n">
        <v>5</v>
      </c>
      <c r="H311" s="11" t="n">
        <v>20</v>
      </c>
      <c r="I311" s="16"/>
      <c r="J311" s="16"/>
      <c r="K311" s="17" t="str">
        <f aca="false">IF(AND(I311&lt;&gt;"",J311&lt;&gt;"",J311&lt;&gt;0),I311/J311,"")</f>
        <v/>
      </c>
      <c r="L311" s="16"/>
      <c r="M311" s="16"/>
      <c r="N311" s="16"/>
      <c r="O311" s="16" t="n">
        <v>1.5</v>
      </c>
      <c r="P311" s="17" t="str">
        <f aca="false">IF(AND(N311&lt;&gt;"",O311&lt;&gt;"",I311&lt;&gt;"",I311&lt;&gt;0),N311/(O311*9.81*I311),"")</f>
        <v/>
      </c>
      <c r="Q311" s="16"/>
      <c r="R311" s="18"/>
    </row>
    <row r="312" customFormat="false" ht="15" hidden="false" customHeight="false" outlineLevel="0" collapsed="false">
      <c r="A312" s="13" t="n">
        <v>308</v>
      </c>
      <c r="B312" s="13" t="n">
        <v>439</v>
      </c>
      <c r="C312" s="13" t="n">
        <v>88</v>
      </c>
      <c r="D312" s="13" t="n">
        <v>4</v>
      </c>
      <c r="E312" s="13" t="n">
        <v>2</v>
      </c>
      <c r="F312" s="13" t="s">
        <v>57</v>
      </c>
      <c r="G312" s="13" t="n">
        <v>10</v>
      </c>
      <c r="H312" s="13" t="n">
        <v>0</v>
      </c>
      <c r="I312" s="19"/>
      <c r="J312" s="19"/>
      <c r="K312" s="17" t="str">
        <f aca="false">IF(AND(I312&lt;&gt;"",J312&lt;&gt;"",J312&lt;&gt;0),I312/J312,"")</f>
        <v/>
      </c>
      <c r="L312" s="19"/>
      <c r="M312" s="19"/>
      <c r="N312" s="19"/>
      <c r="O312" s="19" t="n">
        <v>1.5</v>
      </c>
      <c r="P312" s="17" t="str">
        <f aca="false">IF(AND(N312&lt;&gt;"",O312&lt;&gt;"",I312&lt;&gt;"",I312&lt;&gt;0),N312/(O312*9.81*I312),"")</f>
        <v/>
      </c>
      <c r="Q312" s="19"/>
      <c r="R312" s="20"/>
    </row>
    <row r="313" customFormat="false" ht="15" hidden="false" customHeight="false" outlineLevel="0" collapsed="false">
      <c r="A313" s="11" t="n">
        <v>309</v>
      </c>
      <c r="B313" s="11" t="n">
        <v>302</v>
      </c>
      <c r="C313" s="11" t="n">
        <v>61</v>
      </c>
      <c r="D313" s="11" t="n">
        <v>2</v>
      </c>
      <c r="E313" s="11" t="n">
        <v>1.5</v>
      </c>
      <c r="F313" s="11" t="s">
        <v>57</v>
      </c>
      <c r="G313" s="11" t="n">
        <v>10</v>
      </c>
      <c r="H313" s="11" t="n">
        <v>0</v>
      </c>
      <c r="I313" s="16"/>
      <c r="J313" s="16"/>
      <c r="K313" s="17" t="str">
        <f aca="false">IF(AND(I313&lt;&gt;"",J313&lt;&gt;"",J313&lt;&gt;0),I313/J313,"")</f>
        <v/>
      </c>
      <c r="L313" s="16"/>
      <c r="M313" s="16"/>
      <c r="N313" s="16"/>
      <c r="O313" s="16" t="n">
        <v>1.5</v>
      </c>
      <c r="P313" s="17" t="str">
        <f aca="false">IF(AND(N313&lt;&gt;"",O313&lt;&gt;"",I313&lt;&gt;"",I313&lt;&gt;0),N313/(O313*9.81*I313),"")</f>
        <v/>
      </c>
      <c r="Q313" s="16"/>
      <c r="R313" s="18"/>
    </row>
    <row r="314" customFormat="false" ht="15" hidden="false" customHeight="false" outlineLevel="0" collapsed="false">
      <c r="A314" s="13" t="n">
        <v>310</v>
      </c>
      <c r="B314" s="13" t="n">
        <v>11</v>
      </c>
      <c r="C314" s="13" t="n">
        <v>3</v>
      </c>
      <c r="D314" s="13" t="n">
        <v>1</v>
      </c>
      <c r="E314" s="13" t="n">
        <v>0.5</v>
      </c>
      <c r="F314" s="13" t="s">
        <v>57</v>
      </c>
      <c r="G314" s="13" t="n">
        <v>2</v>
      </c>
      <c r="H314" s="13" t="n">
        <v>20</v>
      </c>
      <c r="I314" s="19"/>
      <c r="J314" s="19"/>
      <c r="K314" s="17" t="str">
        <f aca="false">IF(AND(I314&lt;&gt;"",J314&lt;&gt;"",J314&lt;&gt;0),I314/J314,"")</f>
        <v/>
      </c>
      <c r="L314" s="19"/>
      <c r="M314" s="19"/>
      <c r="N314" s="19"/>
      <c r="O314" s="19" t="n">
        <v>1.5</v>
      </c>
      <c r="P314" s="17" t="str">
        <f aca="false">IF(AND(N314&lt;&gt;"",O314&lt;&gt;"",I314&lt;&gt;"",I314&lt;&gt;0),N314/(O314*9.81*I314),"")</f>
        <v/>
      </c>
      <c r="Q314" s="19"/>
      <c r="R314" s="20"/>
    </row>
    <row r="315" customFormat="false" ht="15" hidden="false" customHeight="false" outlineLevel="0" collapsed="false">
      <c r="A315" s="11" t="n">
        <v>311</v>
      </c>
      <c r="B315" s="11" t="n">
        <v>174</v>
      </c>
      <c r="C315" s="11" t="n">
        <v>35</v>
      </c>
      <c r="D315" s="11" t="n">
        <v>4</v>
      </c>
      <c r="E315" s="11" t="n">
        <v>1</v>
      </c>
      <c r="F315" s="11" t="s">
        <v>57</v>
      </c>
      <c r="G315" s="11" t="n">
        <v>10</v>
      </c>
      <c r="H315" s="11" t="n">
        <v>10</v>
      </c>
      <c r="I315" s="16"/>
      <c r="J315" s="16"/>
      <c r="K315" s="17" t="str">
        <f aca="false">IF(AND(I315&lt;&gt;"",J315&lt;&gt;"",J315&lt;&gt;0),I315/J315,"")</f>
        <v/>
      </c>
      <c r="L315" s="16"/>
      <c r="M315" s="16"/>
      <c r="N315" s="16"/>
      <c r="O315" s="16" t="n">
        <v>1.5</v>
      </c>
      <c r="P315" s="17" t="str">
        <f aca="false">IF(AND(N315&lt;&gt;"",O315&lt;&gt;"",I315&lt;&gt;"",I315&lt;&gt;0),N315/(O315*9.81*I315),"")</f>
        <v/>
      </c>
      <c r="Q315" s="16"/>
      <c r="R315" s="18"/>
    </row>
    <row r="316" customFormat="false" ht="15" hidden="false" customHeight="false" outlineLevel="0" collapsed="false">
      <c r="A316" s="13" t="n">
        <v>312</v>
      </c>
      <c r="B316" s="13" t="n">
        <v>389</v>
      </c>
      <c r="C316" s="13" t="n">
        <v>78</v>
      </c>
      <c r="D316" s="13" t="n">
        <v>4</v>
      </c>
      <c r="E316" s="13" t="n">
        <v>1.5</v>
      </c>
      <c r="F316" s="13" t="s">
        <v>61</v>
      </c>
      <c r="G316" s="13" t="n">
        <v>5</v>
      </c>
      <c r="H316" s="13" t="n">
        <v>20</v>
      </c>
      <c r="I316" s="19"/>
      <c r="J316" s="19"/>
      <c r="K316" s="17" t="str">
        <f aca="false">IF(AND(I316&lt;&gt;"",J316&lt;&gt;"",J316&lt;&gt;0),I316/J316,"")</f>
        <v/>
      </c>
      <c r="L316" s="19"/>
      <c r="M316" s="19"/>
      <c r="N316" s="19"/>
      <c r="O316" s="19" t="n">
        <v>1.5</v>
      </c>
      <c r="P316" s="17" t="str">
        <f aca="false">IF(AND(N316&lt;&gt;"",O316&lt;&gt;"",I316&lt;&gt;"",I316&lt;&gt;0),N316/(O316*9.81*I316),"")</f>
        <v/>
      </c>
      <c r="Q316" s="19"/>
      <c r="R316" s="20"/>
    </row>
    <row r="317" customFormat="false" ht="15" hidden="false" customHeight="false" outlineLevel="0" collapsed="false">
      <c r="A317" s="11" t="n">
        <v>313</v>
      </c>
      <c r="B317" s="11" t="n">
        <v>116</v>
      </c>
      <c r="C317" s="11" t="n">
        <v>24</v>
      </c>
      <c r="D317" s="11" t="n">
        <v>1</v>
      </c>
      <c r="E317" s="11" t="n">
        <v>0.5</v>
      </c>
      <c r="F317" s="11" t="s">
        <v>61</v>
      </c>
      <c r="G317" s="11" t="n">
        <v>5</v>
      </c>
      <c r="H317" s="11" t="n">
        <v>20</v>
      </c>
      <c r="I317" s="16"/>
      <c r="J317" s="16"/>
      <c r="K317" s="17" t="str">
        <f aca="false">IF(AND(I317&lt;&gt;"",J317&lt;&gt;"",J317&lt;&gt;0),I317/J317,"")</f>
        <v/>
      </c>
      <c r="L317" s="16"/>
      <c r="M317" s="16"/>
      <c r="N317" s="16"/>
      <c r="O317" s="16" t="n">
        <v>1.5</v>
      </c>
      <c r="P317" s="17" t="str">
        <f aca="false">IF(AND(N317&lt;&gt;"",O317&lt;&gt;"",I317&lt;&gt;"",I317&lt;&gt;0),N317/(O317*9.81*I317),"")</f>
        <v/>
      </c>
      <c r="Q317" s="16"/>
      <c r="R317" s="18"/>
    </row>
    <row r="318" customFormat="false" ht="15" hidden="false" customHeight="false" outlineLevel="0" collapsed="false">
      <c r="A318" s="13" t="n">
        <v>314</v>
      </c>
      <c r="B318" s="13" t="n">
        <v>502</v>
      </c>
      <c r="C318" s="13" t="n">
        <v>101</v>
      </c>
      <c r="D318" s="13" t="n">
        <v>2</v>
      </c>
      <c r="E318" s="13" t="n">
        <v>2</v>
      </c>
      <c r="F318" s="13" t="s">
        <v>61</v>
      </c>
      <c r="G318" s="13" t="n">
        <v>2</v>
      </c>
      <c r="H318" s="13" t="n">
        <v>10</v>
      </c>
      <c r="I318" s="19"/>
      <c r="J318" s="19"/>
      <c r="K318" s="17" t="str">
        <f aca="false">IF(AND(I318&lt;&gt;"",J318&lt;&gt;"",J318&lt;&gt;0),I318/J318,"")</f>
        <v/>
      </c>
      <c r="L318" s="19"/>
      <c r="M318" s="19"/>
      <c r="N318" s="19"/>
      <c r="O318" s="19" t="n">
        <v>1.5</v>
      </c>
      <c r="P318" s="17" t="str">
        <f aca="false">IF(AND(N318&lt;&gt;"",O318&lt;&gt;"",I318&lt;&gt;"",I318&lt;&gt;0),N318/(O318*9.81*I318),"")</f>
        <v/>
      </c>
      <c r="Q318" s="19"/>
      <c r="R318" s="20"/>
    </row>
    <row r="319" customFormat="false" ht="15" hidden="false" customHeight="false" outlineLevel="0" collapsed="false">
      <c r="A319" s="11" t="n">
        <v>315</v>
      </c>
      <c r="B319" s="11" t="n">
        <v>62</v>
      </c>
      <c r="C319" s="11" t="n">
        <v>13</v>
      </c>
      <c r="D319" s="11" t="n">
        <v>2</v>
      </c>
      <c r="E319" s="11" t="n">
        <v>0.5</v>
      </c>
      <c r="F319" s="11" t="s">
        <v>59</v>
      </c>
      <c r="G319" s="11" t="n">
        <v>5</v>
      </c>
      <c r="H319" s="11" t="n">
        <v>0</v>
      </c>
      <c r="I319" s="16"/>
      <c r="J319" s="16"/>
      <c r="K319" s="17" t="str">
        <f aca="false">IF(AND(I319&lt;&gt;"",J319&lt;&gt;"",J319&lt;&gt;0),I319/J319,"")</f>
        <v/>
      </c>
      <c r="L319" s="16"/>
      <c r="M319" s="16"/>
      <c r="N319" s="16"/>
      <c r="O319" s="16" t="n">
        <v>1.5</v>
      </c>
      <c r="P319" s="17" t="str">
        <f aca="false">IF(AND(N319&lt;&gt;"",O319&lt;&gt;"",I319&lt;&gt;"",I319&lt;&gt;0),N319/(O319*9.81*I319),"")</f>
        <v/>
      </c>
      <c r="Q319" s="16"/>
      <c r="R319" s="18"/>
    </row>
    <row r="320" customFormat="false" ht="15" hidden="false" customHeight="false" outlineLevel="0" collapsed="false">
      <c r="A320" s="13" t="n">
        <v>316</v>
      </c>
      <c r="B320" s="13" t="n">
        <v>232</v>
      </c>
      <c r="C320" s="13" t="n">
        <v>47</v>
      </c>
      <c r="D320" s="13" t="n">
        <v>2</v>
      </c>
      <c r="E320" s="13" t="n">
        <v>1</v>
      </c>
      <c r="F320" s="13" t="s">
        <v>61</v>
      </c>
      <c r="G320" s="13" t="n">
        <v>2</v>
      </c>
      <c r="H320" s="13" t="n">
        <v>10</v>
      </c>
      <c r="I320" s="19"/>
      <c r="J320" s="19"/>
      <c r="K320" s="17" t="str">
        <f aca="false">IF(AND(I320&lt;&gt;"",J320&lt;&gt;"",J320&lt;&gt;0),I320/J320,"")</f>
        <v/>
      </c>
      <c r="L320" s="19"/>
      <c r="M320" s="19"/>
      <c r="N320" s="19"/>
      <c r="O320" s="19" t="n">
        <v>1.5</v>
      </c>
      <c r="P320" s="17" t="str">
        <f aca="false">IF(AND(N320&lt;&gt;"",O320&lt;&gt;"",I320&lt;&gt;"",I320&lt;&gt;0),N320/(O320*9.81*I320),"")</f>
        <v/>
      </c>
      <c r="Q320" s="19"/>
      <c r="R320" s="20"/>
    </row>
    <row r="321" customFormat="false" ht="15" hidden="false" customHeight="false" outlineLevel="0" collapsed="false">
      <c r="A321" s="11" t="n">
        <v>317</v>
      </c>
      <c r="B321" s="11" t="n">
        <v>265</v>
      </c>
      <c r="C321" s="11" t="n">
        <v>53</v>
      </c>
      <c r="D321" s="11" t="n">
        <v>5</v>
      </c>
      <c r="E321" s="11" t="n">
        <v>1</v>
      </c>
      <c r="F321" s="11" t="s">
        <v>61</v>
      </c>
      <c r="G321" s="11" t="n">
        <v>10</v>
      </c>
      <c r="H321" s="11" t="n">
        <v>10</v>
      </c>
      <c r="I321" s="16"/>
      <c r="J321" s="16"/>
      <c r="K321" s="17" t="str">
        <f aca="false">IF(AND(I321&lt;&gt;"",J321&lt;&gt;"",J321&lt;&gt;0),I321/J321,"")</f>
        <v/>
      </c>
      <c r="L321" s="16"/>
      <c r="M321" s="16"/>
      <c r="N321" s="16"/>
      <c r="O321" s="16" t="n">
        <v>1.5</v>
      </c>
      <c r="P321" s="17" t="str">
        <f aca="false">IF(AND(N321&lt;&gt;"",O321&lt;&gt;"",I321&lt;&gt;"",I321&lt;&gt;0),N321/(O321*9.81*I321),"")</f>
        <v/>
      </c>
      <c r="Q321" s="16"/>
      <c r="R321" s="18"/>
    </row>
    <row r="322" customFormat="false" ht="15" hidden="false" customHeight="false" outlineLevel="0" collapsed="false">
      <c r="A322" s="13" t="n">
        <v>318</v>
      </c>
      <c r="B322" s="13" t="n">
        <v>225</v>
      </c>
      <c r="C322" s="13" t="n">
        <v>45</v>
      </c>
      <c r="D322" s="13" t="n">
        <v>5</v>
      </c>
      <c r="E322" s="13" t="n">
        <v>1</v>
      </c>
      <c r="F322" s="13" t="s">
        <v>59</v>
      </c>
      <c r="G322" s="13" t="n">
        <v>10</v>
      </c>
      <c r="H322" s="13" t="n">
        <v>20</v>
      </c>
      <c r="I322" s="19"/>
      <c r="J322" s="19"/>
      <c r="K322" s="17" t="str">
        <f aca="false">IF(AND(I322&lt;&gt;"",J322&lt;&gt;"",J322&lt;&gt;0),I322/J322,"")</f>
        <v/>
      </c>
      <c r="L322" s="19"/>
      <c r="M322" s="19"/>
      <c r="N322" s="19"/>
      <c r="O322" s="19" t="n">
        <v>1.5</v>
      </c>
      <c r="P322" s="17" t="str">
        <f aca="false">IF(AND(N322&lt;&gt;"",O322&lt;&gt;"",I322&lt;&gt;"",I322&lt;&gt;0),N322/(O322*9.81*I322),"")</f>
        <v/>
      </c>
      <c r="Q322" s="19"/>
      <c r="R322" s="20"/>
    </row>
    <row r="323" customFormat="false" ht="15" hidden="false" customHeight="false" outlineLevel="0" collapsed="false">
      <c r="A323" s="11" t="n">
        <v>319</v>
      </c>
      <c r="B323" s="11" t="n">
        <v>354</v>
      </c>
      <c r="C323" s="11" t="n">
        <v>71</v>
      </c>
      <c r="D323" s="11" t="n">
        <v>4</v>
      </c>
      <c r="E323" s="11" t="n">
        <v>1.5</v>
      </c>
      <c r="F323" s="11" t="s">
        <v>59</v>
      </c>
      <c r="G323" s="11" t="n">
        <v>10</v>
      </c>
      <c r="H323" s="11" t="n">
        <v>10</v>
      </c>
      <c r="I323" s="16"/>
      <c r="J323" s="16"/>
      <c r="K323" s="17" t="str">
        <f aca="false">IF(AND(I323&lt;&gt;"",J323&lt;&gt;"",J323&lt;&gt;0),I323/J323,"")</f>
        <v/>
      </c>
      <c r="L323" s="16"/>
      <c r="M323" s="16"/>
      <c r="N323" s="16"/>
      <c r="O323" s="16" t="n">
        <v>1.5</v>
      </c>
      <c r="P323" s="17" t="str">
        <f aca="false">IF(AND(N323&lt;&gt;"",O323&lt;&gt;"",I323&lt;&gt;"",I323&lt;&gt;0),N323/(O323*9.81*I323),"")</f>
        <v/>
      </c>
      <c r="Q323" s="16"/>
      <c r="R323" s="18"/>
    </row>
    <row r="324" customFormat="false" ht="15" hidden="false" customHeight="false" outlineLevel="0" collapsed="false">
      <c r="A324" s="13" t="n">
        <v>320</v>
      </c>
      <c r="B324" s="13" t="n">
        <v>405</v>
      </c>
      <c r="C324" s="13" t="n">
        <v>81</v>
      </c>
      <c r="D324" s="13" t="n">
        <v>5</v>
      </c>
      <c r="E324" s="13" t="n">
        <v>1.5</v>
      </c>
      <c r="F324" s="13" t="s">
        <v>61</v>
      </c>
      <c r="G324" s="13" t="n">
        <v>10</v>
      </c>
      <c r="H324" s="13" t="n">
        <v>20</v>
      </c>
      <c r="I324" s="19"/>
      <c r="J324" s="19"/>
      <c r="K324" s="17" t="str">
        <f aca="false">IF(AND(I324&lt;&gt;"",J324&lt;&gt;"",J324&lt;&gt;0),I324/J324,"")</f>
        <v/>
      </c>
      <c r="L324" s="19"/>
      <c r="M324" s="19"/>
      <c r="N324" s="19"/>
      <c r="O324" s="19" t="n">
        <v>1.5</v>
      </c>
      <c r="P324" s="17" t="str">
        <f aca="false">IF(AND(N324&lt;&gt;"",O324&lt;&gt;"",I324&lt;&gt;"",I324&lt;&gt;0),N324/(O324*9.81*I324),"")</f>
        <v/>
      </c>
      <c r="Q324" s="19"/>
      <c r="R324" s="20"/>
    </row>
    <row r="325" customFormat="false" ht="15" hidden="false" customHeight="false" outlineLevel="0" collapsed="false">
      <c r="A325" s="11" t="n">
        <v>321</v>
      </c>
      <c r="B325" s="11" t="n">
        <v>514</v>
      </c>
      <c r="C325" s="11" t="n">
        <v>103</v>
      </c>
      <c r="D325" s="11" t="n">
        <v>4</v>
      </c>
      <c r="E325" s="11" t="n">
        <v>2</v>
      </c>
      <c r="F325" s="11" t="s">
        <v>61</v>
      </c>
      <c r="G325" s="11" t="n">
        <v>5</v>
      </c>
      <c r="H325" s="11" t="n">
        <v>0</v>
      </c>
      <c r="I325" s="16"/>
      <c r="J325" s="16"/>
      <c r="K325" s="17" t="str">
        <f aca="false">IF(AND(I325&lt;&gt;"",J325&lt;&gt;"",J325&lt;&gt;0),I325/J325,"")</f>
        <v/>
      </c>
      <c r="L325" s="16"/>
      <c r="M325" s="16"/>
      <c r="N325" s="16"/>
      <c r="O325" s="16" t="n">
        <v>1.5</v>
      </c>
      <c r="P325" s="17" t="str">
        <f aca="false">IF(AND(N325&lt;&gt;"",O325&lt;&gt;"",I325&lt;&gt;"",I325&lt;&gt;0),N325/(O325*9.81*I325),"")</f>
        <v/>
      </c>
      <c r="Q325" s="16"/>
      <c r="R325" s="18"/>
    </row>
    <row r="326" customFormat="false" ht="15" hidden="false" customHeight="false" outlineLevel="0" collapsed="false">
      <c r="A326" s="13" t="n">
        <v>322</v>
      </c>
      <c r="B326" s="13" t="n">
        <v>103</v>
      </c>
      <c r="C326" s="13" t="n">
        <v>21</v>
      </c>
      <c r="D326" s="13" t="n">
        <v>3</v>
      </c>
      <c r="E326" s="13" t="n">
        <v>0.5</v>
      </c>
      <c r="F326" s="13" t="s">
        <v>61</v>
      </c>
      <c r="G326" s="13" t="n">
        <v>2</v>
      </c>
      <c r="H326" s="13" t="n">
        <v>20</v>
      </c>
      <c r="I326" s="19"/>
      <c r="J326" s="19"/>
      <c r="K326" s="17" t="str">
        <f aca="false">IF(AND(I326&lt;&gt;"",J326&lt;&gt;"",J326&lt;&gt;0),I326/J326,"")</f>
        <v/>
      </c>
      <c r="L326" s="19"/>
      <c r="M326" s="19"/>
      <c r="N326" s="19"/>
      <c r="O326" s="19" t="n">
        <v>1.5</v>
      </c>
      <c r="P326" s="17" t="str">
        <f aca="false">IF(AND(N326&lt;&gt;"",O326&lt;&gt;"",I326&lt;&gt;"",I326&lt;&gt;0),N326/(O326*9.81*I326),"")</f>
        <v/>
      </c>
      <c r="Q326" s="19"/>
      <c r="R326" s="20"/>
    </row>
    <row r="327" customFormat="false" ht="15" hidden="false" customHeight="false" outlineLevel="0" collapsed="false">
      <c r="A327" s="11" t="n">
        <v>323</v>
      </c>
      <c r="B327" s="11" t="n">
        <v>352</v>
      </c>
      <c r="C327" s="11" t="n">
        <v>71</v>
      </c>
      <c r="D327" s="11" t="n">
        <v>2</v>
      </c>
      <c r="E327" s="11" t="n">
        <v>1.5</v>
      </c>
      <c r="F327" s="11" t="s">
        <v>59</v>
      </c>
      <c r="G327" s="11" t="n">
        <v>10</v>
      </c>
      <c r="H327" s="11" t="n">
        <v>10</v>
      </c>
      <c r="I327" s="16"/>
      <c r="J327" s="16"/>
      <c r="K327" s="17" t="str">
        <f aca="false">IF(AND(I327&lt;&gt;"",J327&lt;&gt;"",J327&lt;&gt;0),I327/J327,"")</f>
        <v/>
      </c>
      <c r="L327" s="16"/>
      <c r="M327" s="16"/>
      <c r="N327" s="16"/>
      <c r="O327" s="16" t="n">
        <v>1.5</v>
      </c>
      <c r="P327" s="17" t="str">
        <f aca="false">IF(AND(N327&lt;&gt;"",O327&lt;&gt;"",I327&lt;&gt;"",I327&lt;&gt;0),N327/(O327*9.81*I327),"")</f>
        <v/>
      </c>
      <c r="Q327" s="16"/>
      <c r="R327" s="18"/>
    </row>
    <row r="328" customFormat="false" ht="15" hidden="false" customHeight="false" outlineLevel="0" collapsed="false">
      <c r="A328" s="13" t="n">
        <v>324</v>
      </c>
      <c r="B328" s="13" t="n">
        <v>423</v>
      </c>
      <c r="C328" s="13" t="n">
        <v>85</v>
      </c>
      <c r="D328" s="13" t="n">
        <v>3</v>
      </c>
      <c r="E328" s="13" t="n">
        <v>2</v>
      </c>
      <c r="F328" s="13" t="s">
        <v>57</v>
      </c>
      <c r="G328" s="13" t="n">
        <v>5</v>
      </c>
      <c r="H328" s="13" t="n">
        <v>0</v>
      </c>
      <c r="I328" s="19"/>
      <c r="J328" s="19"/>
      <c r="K328" s="17" t="str">
        <f aca="false">IF(AND(I328&lt;&gt;"",J328&lt;&gt;"",J328&lt;&gt;0),I328/J328,"")</f>
        <v/>
      </c>
      <c r="L328" s="19"/>
      <c r="M328" s="19"/>
      <c r="N328" s="19"/>
      <c r="O328" s="19" t="n">
        <v>1.5</v>
      </c>
      <c r="P328" s="17" t="str">
        <f aca="false">IF(AND(N328&lt;&gt;"",O328&lt;&gt;"",I328&lt;&gt;"",I328&lt;&gt;0),N328/(O328*9.81*I328),"")</f>
        <v/>
      </c>
      <c r="Q328" s="19"/>
      <c r="R328" s="20"/>
    </row>
    <row r="329" customFormat="false" ht="15" hidden="false" customHeight="false" outlineLevel="0" collapsed="false">
      <c r="A329" s="11" t="n">
        <v>325</v>
      </c>
      <c r="B329" s="11" t="n">
        <v>391</v>
      </c>
      <c r="C329" s="11" t="n">
        <v>79</v>
      </c>
      <c r="D329" s="11" t="n">
        <v>1</v>
      </c>
      <c r="E329" s="11" t="n">
        <v>1.5</v>
      </c>
      <c r="F329" s="11" t="s">
        <v>61</v>
      </c>
      <c r="G329" s="11" t="n">
        <v>10</v>
      </c>
      <c r="H329" s="11" t="n">
        <v>0</v>
      </c>
      <c r="I329" s="16"/>
      <c r="J329" s="16"/>
      <c r="K329" s="17" t="str">
        <f aca="false">IF(AND(I329&lt;&gt;"",J329&lt;&gt;"",J329&lt;&gt;0),I329/J329,"")</f>
        <v/>
      </c>
      <c r="L329" s="16"/>
      <c r="M329" s="16"/>
      <c r="N329" s="16"/>
      <c r="O329" s="16" t="n">
        <v>1.5</v>
      </c>
      <c r="P329" s="17" t="str">
        <f aca="false">IF(AND(N329&lt;&gt;"",O329&lt;&gt;"",I329&lt;&gt;"",I329&lt;&gt;0),N329/(O329*9.81*I329),"")</f>
        <v/>
      </c>
      <c r="Q329" s="16"/>
      <c r="R329" s="18"/>
    </row>
    <row r="330" customFormat="false" ht="15" hidden="false" customHeight="false" outlineLevel="0" collapsed="false">
      <c r="A330" s="13" t="n">
        <v>326</v>
      </c>
      <c r="B330" s="13" t="n">
        <v>311</v>
      </c>
      <c r="C330" s="13" t="n">
        <v>63</v>
      </c>
      <c r="D330" s="13" t="n">
        <v>1</v>
      </c>
      <c r="E330" s="13" t="n">
        <v>1.5</v>
      </c>
      <c r="F330" s="13" t="s">
        <v>57</v>
      </c>
      <c r="G330" s="13" t="n">
        <v>10</v>
      </c>
      <c r="H330" s="13" t="n">
        <v>20</v>
      </c>
      <c r="I330" s="19"/>
      <c r="J330" s="19"/>
      <c r="K330" s="17" t="str">
        <f aca="false">IF(AND(I330&lt;&gt;"",J330&lt;&gt;"",J330&lt;&gt;0),I330/J330,"")</f>
        <v/>
      </c>
      <c r="L330" s="19"/>
      <c r="M330" s="19"/>
      <c r="N330" s="19"/>
      <c r="O330" s="19" t="n">
        <v>1.5</v>
      </c>
      <c r="P330" s="17" t="str">
        <f aca="false">IF(AND(N330&lt;&gt;"",O330&lt;&gt;"",I330&lt;&gt;"",I330&lt;&gt;0),N330/(O330*9.81*I330),"")</f>
        <v/>
      </c>
      <c r="Q330" s="19"/>
      <c r="R330" s="20"/>
    </row>
    <row r="331" customFormat="false" ht="15" hidden="false" customHeight="false" outlineLevel="0" collapsed="false">
      <c r="A331" s="11" t="n">
        <v>327</v>
      </c>
      <c r="B331" s="11" t="n">
        <v>384</v>
      </c>
      <c r="C331" s="11" t="n">
        <v>77</v>
      </c>
      <c r="D331" s="11" t="n">
        <v>4</v>
      </c>
      <c r="E331" s="11" t="n">
        <v>1.5</v>
      </c>
      <c r="F331" s="11" t="s">
        <v>61</v>
      </c>
      <c r="G331" s="11" t="n">
        <v>5</v>
      </c>
      <c r="H331" s="11" t="n">
        <v>10</v>
      </c>
      <c r="I331" s="16"/>
      <c r="J331" s="16"/>
      <c r="K331" s="17" t="str">
        <f aca="false">IF(AND(I331&lt;&gt;"",J331&lt;&gt;"",J331&lt;&gt;0),I331/J331,"")</f>
        <v/>
      </c>
      <c r="L331" s="16"/>
      <c r="M331" s="16"/>
      <c r="N331" s="16"/>
      <c r="O331" s="16" t="n">
        <v>1.5</v>
      </c>
      <c r="P331" s="17" t="str">
        <f aca="false">IF(AND(N331&lt;&gt;"",O331&lt;&gt;"",I331&lt;&gt;"",I331&lt;&gt;0),N331/(O331*9.81*I331),"")</f>
        <v/>
      </c>
      <c r="Q331" s="16"/>
      <c r="R331" s="18"/>
    </row>
    <row r="332" customFormat="false" ht="15" hidden="false" customHeight="false" outlineLevel="0" collapsed="false">
      <c r="A332" s="13" t="n">
        <v>328</v>
      </c>
      <c r="B332" s="13" t="n">
        <v>416</v>
      </c>
      <c r="C332" s="13" t="n">
        <v>84</v>
      </c>
      <c r="D332" s="13" t="n">
        <v>1</v>
      </c>
      <c r="E332" s="13" t="n">
        <v>2</v>
      </c>
      <c r="F332" s="13" t="s">
        <v>57</v>
      </c>
      <c r="G332" s="13" t="n">
        <v>2</v>
      </c>
      <c r="H332" s="13" t="n">
        <v>20</v>
      </c>
      <c r="I332" s="19"/>
      <c r="J332" s="19"/>
      <c r="K332" s="17" t="str">
        <f aca="false">IF(AND(I332&lt;&gt;"",J332&lt;&gt;"",J332&lt;&gt;0),I332/J332,"")</f>
        <v/>
      </c>
      <c r="L332" s="19"/>
      <c r="M332" s="19"/>
      <c r="N332" s="19"/>
      <c r="O332" s="19" t="n">
        <v>1.5</v>
      </c>
      <c r="P332" s="17" t="str">
        <f aca="false">IF(AND(N332&lt;&gt;"",O332&lt;&gt;"",I332&lt;&gt;"",I332&lt;&gt;0),N332/(O332*9.81*I332),"")</f>
        <v/>
      </c>
      <c r="Q332" s="19"/>
      <c r="R332" s="20"/>
    </row>
    <row r="333" customFormat="false" ht="15" hidden="false" customHeight="false" outlineLevel="0" collapsed="false">
      <c r="A333" s="11" t="n">
        <v>329</v>
      </c>
      <c r="B333" s="11" t="n">
        <v>85</v>
      </c>
      <c r="C333" s="11" t="n">
        <v>17</v>
      </c>
      <c r="D333" s="11" t="n">
        <v>5</v>
      </c>
      <c r="E333" s="11" t="n">
        <v>0.5</v>
      </c>
      <c r="F333" s="11" t="s">
        <v>59</v>
      </c>
      <c r="G333" s="11" t="n">
        <v>10</v>
      </c>
      <c r="H333" s="11" t="n">
        <v>10</v>
      </c>
      <c r="I333" s="16"/>
      <c r="J333" s="16"/>
      <c r="K333" s="17" t="str">
        <f aca="false">IF(AND(I333&lt;&gt;"",J333&lt;&gt;"",J333&lt;&gt;0),I333/J333,"")</f>
        <v/>
      </c>
      <c r="L333" s="16"/>
      <c r="M333" s="16"/>
      <c r="N333" s="16"/>
      <c r="O333" s="16" t="n">
        <v>1.5</v>
      </c>
      <c r="P333" s="17" t="str">
        <f aca="false">IF(AND(N333&lt;&gt;"",O333&lt;&gt;"",I333&lt;&gt;"",I333&lt;&gt;0),N333/(O333*9.81*I333),"")</f>
        <v/>
      </c>
      <c r="Q333" s="16"/>
      <c r="R333" s="18"/>
    </row>
    <row r="334" customFormat="false" ht="15" hidden="false" customHeight="false" outlineLevel="0" collapsed="false">
      <c r="A334" s="13" t="n">
        <v>330</v>
      </c>
      <c r="B334" s="13" t="n">
        <v>538</v>
      </c>
      <c r="C334" s="13" t="n">
        <v>108</v>
      </c>
      <c r="D334" s="13" t="n">
        <v>3</v>
      </c>
      <c r="E334" s="13" t="n">
        <v>2</v>
      </c>
      <c r="F334" s="13" t="s">
        <v>61</v>
      </c>
      <c r="G334" s="13" t="n">
        <v>10</v>
      </c>
      <c r="H334" s="13" t="n">
        <v>20</v>
      </c>
      <c r="I334" s="19"/>
      <c r="J334" s="19"/>
      <c r="K334" s="17" t="str">
        <f aca="false">IF(AND(I334&lt;&gt;"",J334&lt;&gt;"",J334&lt;&gt;0),I334/J334,"")</f>
        <v/>
      </c>
      <c r="L334" s="19"/>
      <c r="M334" s="19"/>
      <c r="N334" s="19"/>
      <c r="O334" s="19" t="n">
        <v>1.5</v>
      </c>
      <c r="P334" s="17" t="str">
        <f aca="false">IF(AND(N334&lt;&gt;"",O334&lt;&gt;"",I334&lt;&gt;"",I334&lt;&gt;0),N334/(O334*9.81*I334),"")</f>
        <v/>
      </c>
      <c r="Q334" s="19"/>
      <c r="R334" s="20"/>
    </row>
    <row r="335" customFormat="false" ht="15" hidden="false" customHeight="false" outlineLevel="0" collapsed="false">
      <c r="A335" s="11" t="n">
        <v>331</v>
      </c>
      <c r="B335" s="11" t="n">
        <v>244</v>
      </c>
      <c r="C335" s="11" t="n">
        <v>49</v>
      </c>
      <c r="D335" s="11" t="n">
        <v>4</v>
      </c>
      <c r="E335" s="11" t="n">
        <v>1</v>
      </c>
      <c r="F335" s="11" t="s">
        <v>61</v>
      </c>
      <c r="G335" s="11" t="n">
        <v>5</v>
      </c>
      <c r="H335" s="11" t="n">
        <v>0</v>
      </c>
      <c r="I335" s="16"/>
      <c r="J335" s="16"/>
      <c r="K335" s="17" t="str">
        <f aca="false">IF(AND(I335&lt;&gt;"",J335&lt;&gt;"",J335&lt;&gt;0),I335/J335,"")</f>
        <v/>
      </c>
      <c r="L335" s="16"/>
      <c r="M335" s="16"/>
      <c r="N335" s="16"/>
      <c r="O335" s="16" t="n">
        <v>1.5</v>
      </c>
      <c r="P335" s="17" t="str">
        <f aca="false">IF(AND(N335&lt;&gt;"",O335&lt;&gt;"",I335&lt;&gt;"",I335&lt;&gt;0),N335/(O335*9.81*I335),"")</f>
        <v/>
      </c>
      <c r="Q335" s="16"/>
      <c r="R335" s="18"/>
    </row>
    <row r="336" customFormat="false" ht="15" hidden="false" customHeight="false" outlineLevel="0" collapsed="false">
      <c r="A336" s="13" t="n">
        <v>332</v>
      </c>
      <c r="B336" s="13" t="n">
        <v>66</v>
      </c>
      <c r="C336" s="13" t="n">
        <v>14</v>
      </c>
      <c r="D336" s="13" t="n">
        <v>1</v>
      </c>
      <c r="E336" s="13" t="n">
        <v>0.5</v>
      </c>
      <c r="F336" s="13" t="s">
        <v>59</v>
      </c>
      <c r="G336" s="13" t="n">
        <v>5</v>
      </c>
      <c r="H336" s="13" t="n">
        <v>10</v>
      </c>
      <c r="I336" s="19"/>
      <c r="J336" s="19"/>
      <c r="K336" s="17" t="str">
        <f aca="false">IF(AND(I336&lt;&gt;"",J336&lt;&gt;"",J336&lt;&gt;0),I336/J336,"")</f>
        <v/>
      </c>
      <c r="L336" s="19"/>
      <c r="M336" s="19"/>
      <c r="N336" s="19"/>
      <c r="O336" s="19" t="n">
        <v>1.5</v>
      </c>
      <c r="P336" s="17" t="str">
        <f aca="false">IF(AND(N336&lt;&gt;"",O336&lt;&gt;"",I336&lt;&gt;"",I336&lt;&gt;0),N336/(O336*9.81*I336),"")</f>
        <v/>
      </c>
      <c r="Q336" s="19"/>
      <c r="R336" s="20"/>
    </row>
    <row r="337" customFormat="false" ht="15" hidden="false" customHeight="false" outlineLevel="0" collapsed="false">
      <c r="A337" s="11" t="n">
        <v>333</v>
      </c>
      <c r="B337" s="11" t="n">
        <v>65</v>
      </c>
      <c r="C337" s="11" t="n">
        <v>13</v>
      </c>
      <c r="D337" s="11" t="n">
        <v>5</v>
      </c>
      <c r="E337" s="11" t="n">
        <v>0.5</v>
      </c>
      <c r="F337" s="11" t="s">
        <v>59</v>
      </c>
      <c r="G337" s="11" t="n">
        <v>5</v>
      </c>
      <c r="H337" s="11" t="n">
        <v>0</v>
      </c>
      <c r="I337" s="16"/>
      <c r="J337" s="16"/>
      <c r="K337" s="17" t="str">
        <f aca="false">IF(AND(I337&lt;&gt;"",J337&lt;&gt;"",J337&lt;&gt;0),I337/J337,"")</f>
        <v/>
      </c>
      <c r="L337" s="16"/>
      <c r="M337" s="16"/>
      <c r="N337" s="16"/>
      <c r="O337" s="16" t="n">
        <v>1.5</v>
      </c>
      <c r="P337" s="17" t="str">
        <f aca="false">IF(AND(N337&lt;&gt;"",O337&lt;&gt;"",I337&lt;&gt;"",I337&lt;&gt;0),N337/(O337*9.81*I337),"")</f>
        <v/>
      </c>
      <c r="Q337" s="16"/>
      <c r="R337" s="18"/>
    </row>
    <row r="338" customFormat="false" ht="15" hidden="false" customHeight="false" outlineLevel="0" collapsed="false">
      <c r="A338" s="13" t="n">
        <v>334</v>
      </c>
      <c r="B338" s="13" t="n">
        <v>273</v>
      </c>
      <c r="C338" s="13" t="n">
        <v>55</v>
      </c>
      <c r="D338" s="13" t="n">
        <v>3</v>
      </c>
      <c r="E338" s="13" t="n">
        <v>1.5</v>
      </c>
      <c r="F338" s="13" t="s">
        <v>57</v>
      </c>
      <c r="G338" s="13" t="n">
        <v>2</v>
      </c>
      <c r="H338" s="13" t="n">
        <v>0</v>
      </c>
      <c r="I338" s="19"/>
      <c r="J338" s="19"/>
      <c r="K338" s="17" t="str">
        <f aca="false">IF(AND(I338&lt;&gt;"",J338&lt;&gt;"",J338&lt;&gt;0),I338/J338,"")</f>
        <v/>
      </c>
      <c r="L338" s="19"/>
      <c r="M338" s="19"/>
      <c r="N338" s="19"/>
      <c r="O338" s="19" t="n">
        <v>1.5</v>
      </c>
      <c r="P338" s="17" t="str">
        <f aca="false">IF(AND(N338&lt;&gt;"",O338&lt;&gt;"",I338&lt;&gt;"",I338&lt;&gt;0),N338/(O338*9.81*I338),"")</f>
        <v/>
      </c>
      <c r="Q338" s="19"/>
      <c r="R338" s="20"/>
    </row>
    <row r="339" customFormat="false" ht="15" hidden="false" customHeight="false" outlineLevel="0" collapsed="false">
      <c r="A339" s="11" t="n">
        <v>335</v>
      </c>
      <c r="B339" s="11" t="n">
        <v>482</v>
      </c>
      <c r="C339" s="11" t="n">
        <v>97</v>
      </c>
      <c r="D339" s="11" t="n">
        <v>2</v>
      </c>
      <c r="E339" s="11" t="n">
        <v>2</v>
      </c>
      <c r="F339" s="11" t="s">
        <v>59</v>
      </c>
      <c r="G339" s="11" t="n">
        <v>10</v>
      </c>
      <c r="H339" s="11" t="n">
        <v>0</v>
      </c>
      <c r="I339" s="16"/>
      <c r="J339" s="16"/>
      <c r="K339" s="17" t="str">
        <f aca="false">IF(AND(I339&lt;&gt;"",J339&lt;&gt;"",J339&lt;&gt;0),I339/J339,"")</f>
        <v/>
      </c>
      <c r="L339" s="16"/>
      <c r="M339" s="16"/>
      <c r="N339" s="16"/>
      <c r="O339" s="16" t="n">
        <v>1.5</v>
      </c>
      <c r="P339" s="17" t="str">
        <f aca="false">IF(AND(N339&lt;&gt;"",O339&lt;&gt;"",I339&lt;&gt;"",I339&lt;&gt;0),N339/(O339*9.81*I339),"")</f>
        <v/>
      </c>
      <c r="Q339" s="16"/>
      <c r="R339" s="18"/>
    </row>
    <row r="340" customFormat="false" ht="15" hidden="false" customHeight="false" outlineLevel="0" collapsed="false">
      <c r="A340" s="13" t="n">
        <v>336</v>
      </c>
      <c r="B340" s="13" t="n">
        <v>249</v>
      </c>
      <c r="C340" s="13" t="n">
        <v>50</v>
      </c>
      <c r="D340" s="13" t="n">
        <v>4</v>
      </c>
      <c r="E340" s="13" t="n">
        <v>1</v>
      </c>
      <c r="F340" s="13" t="s">
        <v>61</v>
      </c>
      <c r="G340" s="13" t="n">
        <v>5</v>
      </c>
      <c r="H340" s="13" t="n">
        <v>10</v>
      </c>
      <c r="I340" s="19"/>
      <c r="J340" s="19"/>
      <c r="K340" s="17" t="str">
        <f aca="false">IF(AND(I340&lt;&gt;"",J340&lt;&gt;"",J340&lt;&gt;0),I340/J340,"")</f>
        <v/>
      </c>
      <c r="L340" s="19"/>
      <c r="M340" s="19"/>
      <c r="N340" s="19"/>
      <c r="O340" s="19" t="n">
        <v>1.5</v>
      </c>
      <c r="P340" s="17" t="str">
        <f aca="false">IF(AND(N340&lt;&gt;"",O340&lt;&gt;"",I340&lt;&gt;"",I340&lt;&gt;0),N340/(O340*9.81*I340),"")</f>
        <v/>
      </c>
      <c r="Q340" s="19"/>
      <c r="R340" s="20"/>
    </row>
    <row r="341" customFormat="false" ht="15" hidden="false" customHeight="false" outlineLevel="0" collapsed="false">
      <c r="A341" s="11" t="n">
        <v>337</v>
      </c>
      <c r="B341" s="11" t="n">
        <v>44</v>
      </c>
      <c r="C341" s="11" t="n">
        <v>9</v>
      </c>
      <c r="D341" s="11" t="n">
        <v>4</v>
      </c>
      <c r="E341" s="11" t="n">
        <v>0.5</v>
      </c>
      <c r="F341" s="11" t="s">
        <v>57</v>
      </c>
      <c r="G341" s="11" t="n">
        <v>10</v>
      </c>
      <c r="H341" s="11" t="n">
        <v>20</v>
      </c>
      <c r="I341" s="16"/>
      <c r="J341" s="16"/>
      <c r="K341" s="17" t="str">
        <f aca="false">IF(AND(I341&lt;&gt;"",J341&lt;&gt;"",J341&lt;&gt;0),I341/J341,"")</f>
        <v/>
      </c>
      <c r="L341" s="16"/>
      <c r="M341" s="16"/>
      <c r="N341" s="16"/>
      <c r="O341" s="16" t="n">
        <v>1.5</v>
      </c>
      <c r="P341" s="17" t="str">
        <f aca="false">IF(AND(N341&lt;&gt;"",O341&lt;&gt;"",I341&lt;&gt;"",I341&lt;&gt;0),N341/(O341*9.81*I341),"")</f>
        <v/>
      </c>
      <c r="Q341" s="16"/>
      <c r="R341" s="18"/>
    </row>
    <row r="342" customFormat="false" ht="15" hidden="false" customHeight="false" outlineLevel="0" collapsed="false">
      <c r="A342" s="13" t="n">
        <v>338</v>
      </c>
      <c r="B342" s="13" t="n">
        <v>476</v>
      </c>
      <c r="C342" s="13" t="n">
        <v>96</v>
      </c>
      <c r="D342" s="13" t="n">
        <v>1</v>
      </c>
      <c r="E342" s="13" t="n">
        <v>2</v>
      </c>
      <c r="F342" s="13" t="s">
        <v>59</v>
      </c>
      <c r="G342" s="13" t="n">
        <v>5</v>
      </c>
      <c r="H342" s="13" t="n">
        <v>20</v>
      </c>
      <c r="I342" s="19"/>
      <c r="J342" s="19"/>
      <c r="K342" s="17" t="str">
        <f aca="false">IF(AND(I342&lt;&gt;"",J342&lt;&gt;"",J342&lt;&gt;0),I342/J342,"")</f>
        <v/>
      </c>
      <c r="L342" s="19"/>
      <c r="M342" s="19"/>
      <c r="N342" s="19"/>
      <c r="O342" s="19" t="n">
        <v>1.5</v>
      </c>
      <c r="P342" s="17" t="str">
        <f aca="false">IF(AND(N342&lt;&gt;"",O342&lt;&gt;"",I342&lt;&gt;"",I342&lt;&gt;0),N342/(O342*9.81*I342),"")</f>
        <v/>
      </c>
      <c r="Q342" s="19"/>
      <c r="R342" s="20"/>
    </row>
    <row r="343" customFormat="false" ht="15" hidden="false" customHeight="false" outlineLevel="0" collapsed="false">
      <c r="A343" s="11" t="n">
        <v>339</v>
      </c>
      <c r="B343" s="11" t="n">
        <v>426</v>
      </c>
      <c r="C343" s="11" t="n">
        <v>86</v>
      </c>
      <c r="D343" s="11" t="n">
        <v>1</v>
      </c>
      <c r="E343" s="11" t="n">
        <v>2</v>
      </c>
      <c r="F343" s="11" t="s">
        <v>57</v>
      </c>
      <c r="G343" s="11" t="n">
        <v>5</v>
      </c>
      <c r="H343" s="11" t="n">
        <v>10</v>
      </c>
      <c r="I343" s="16"/>
      <c r="J343" s="16"/>
      <c r="K343" s="17" t="str">
        <f aca="false">IF(AND(I343&lt;&gt;"",J343&lt;&gt;"",J343&lt;&gt;0),I343/J343,"")</f>
        <v/>
      </c>
      <c r="L343" s="16"/>
      <c r="M343" s="16"/>
      <c r="N343" s="16"/>
      <c r="O343" s="16" t="n">
        <v>1.5</v>
      </c>
      <c r="P343" s="17" t="str">
        <f aca="false">IF(AND(N343&lt;&gt;"",O343&lt;&gt;"",I343&lt;&gt;"",I343&lt;&gt;0),N343/(O343*9.81*I343),"")</f>
        <v/>
      </c>
      <c r="Q343" s="16"/>
      <c r="R343" s="18"/>
    </row>
    <row r="344" customFormat="false" ht="15" hidden="false" customHeight="false" outlineLevel="0" collapsed="false">
      <c r="A344" s="13" t="n">
        <v>340</v>
      </c>
      <c r="B344" s="13" t="n">
        <v>124</v>
      </c>
      <c r="C344" s="13" t="n">
        <v>25</v>
      </c>
      <c r="D344" s="13" t="n">
        <v>4</v>
      </c>
      <c r="E344" s="13" t="n">
        <v>0.5</v>
      </c>
      <c r="F344" s="13" t="s">
        <v>61</v>
      </c>
      <c r="G344" s="13" t="n">
        <v>10</v>
      </c>
      <c r="H344" s="13" t="n">
        <v>0</v>
      </c>
      <c r="I344" s="19"/>
      <c r="J344" s="19"/>
      <c r="K344" s="17" t="str">
        <f aca="false">IF(AND(I344&lt;&gt;"",J344&lt;&gt;"",J344&lt;&gt;0),I344/J344,"")</f>
        <v/>
      </c>
      <c r="L344" s="19"/>
      <c r="M344" s="19"/>
      <c r="N344" s="19"/>
      <c r="O344" s="19" t="n">
        <v>1.5</v>
      </c>
      <c r="P344" s="17" t="str">
        <f aca="false">IF(AND(N344&lt;&gt;"",O344&lt;&gt;"",I344&lt;&gt;"",I344&lt;&gt;0),N344/(O344*9.81*I344),"")</f>
        <v/>
      </c>
      <c r="Q344" s="19"/>
      <c r="R344" s="20"/>
    </row>
    <row r="345" customFormat="false" ht="15" hidden="false" customHeight="false" outlineLevel="0" collapsed="false">
      <c r="A345" s="11" t="n">
        <v>341</v>
      </c>
      <c r="B345" s="11" t="n">
        <v>30</v>
      </c>
      <c r="C345" s="11" t="n">
        <v>6</v>
      </c>
      <c r="D345" s="11" t="n">
        <v>5</v>
      </c>
      <c r="E345" s="11" t="n">
        <v>0.5</v>
      </c>
      <c r="F345" s="11" t="s">
        <v>57</v>
      </c>
      <c r="G345" s="11" t="n">
        <v>5</v>
      </c>
      <c r="H345" s="11" t="n">
        <v>20</v>
      </c>
      <c r="I345" s="16"/>
      <c r="J345" s="16"/>
      <c r="K345" s="17" t="str">
        <f aca="false">IF(AND(I345&lt;&gt;"",J345&lt;&gt;"",J345&lt;&gt;0),I345/J345,"")</f>
        <v/>
      </c>
      <c r="L345" s="16"/>
      <c r="M345" s="16"/>
      <c r="N345" s="16"/>
      <c r="O345" s="16" t="n">
        <v>1.5</v>
      </c>
      <c r="P345" s="17" t="str">
        <f aca="false">IF(AND(N345&lt;&gt;"",O345&lt;&gt;"",I345&lt;&gt;"",I345&lt;&gt;0),N345/(O345*9.81*I345),"")</f>
        <v/>
      </c>
      <c r="Q345" s="16"/>
      <c r="R345" s="18"/>
    </row>
    <row r="346" customFormat="false" ht="15" hidden="false" customHeight="false" outlineLevel="0" collapsed="false">
      <c r="A346" s="13" t="n">
        <v>342</v>
      </c>
      <c r="B346" s="13" t="n">
        <v>123</v>
      </c>
      <c r="C346" s="13" t="n">
        <v>25</v>
      </c>
      <c r="D346" s="13" t="n">
        <v>3</v>
      </c>
      <c r="E346" s="13" t="n">
        <v>0.5</v>
      </c>
      <c r="F346" s="13" t="s">
        <v>61</v>
      </c>
      <c r="G346" s="13" t="n">
        <v>10</v>
      </c>
      <c r="H346" s="13" t="n">
        <v>0</v>
      </c>
      <c r="I346" s="19"/>
      <c r="J346" s="19"/>
      <c r="K346" s="17" t="str">
        <f aca="false">IF(AND(I346&lt;&gt;"",J346&lt;&gt;"",J346&lt;&gt;0),I346/J346,"")</f>
        <v/>
      </c>
      <c r="L346" s="19"/>
      <c r="M346" s="19"/>
      <c r="N346" s="19"/>
      <c r="O346" s="19" t="n">
        <v>1.5</v>
      </c>
      <c r="P346" s="17" t="str">
        <f aca="false">IF(AND(N346&lt;&gt;"",O346&lt;&gt;"",I346&lt;&gt;"",I346&lt;&gt;0),N346/(O346*9.81*I346),"")</f>
        <v/>
      </c>
      <c r="Q346" s="19"/>
      <c r="R346" s="20"/>
    </row>
    <row r="347" customFormat="false" ht="15" hidden="false" customHeight="false" outlineLevel="0" collapsed="false">
      <c r="A347" s="11" t="n">
        <v>343</v>
      </c>
      <c r="B347" s="11" t="n">
        <v>158</v>
      </c>
      <c r="C347" s="11" t="n">
        <v>32</v>
      </c>
      <c r="D347" s="11" t="n">
        <v>3</v>
      </c>
      <c r="E347" s="11" t="n">
        <v>1</v>
      </c>
      <c r="F347" s="11" t="s">
        <v>57</v>
      </c>
      <c r="G347" s="11" t="n">
        <v>5</v>
      </c>
      <c r="H347" s="11" t="n">
        <v>10</v>
      </c>
      <c r="I347" s="16"/>
      <c r="J347" s="16"/>
      <c r="K347" s="17" t="str">
        <f aca="false">IF(AND(I347&lt;&gt;"",J347&lt;&gt;"",J347&lt;&gt;0),I347/J347,"")</f>
        <v/>
      </c>
      <c r="L347" s="16"/>
      <c r="M347" s="16"/>
      <c r="N347" s="16"/>
      <c r="O347" s="16" t="n">
        <v>1.5</v>
      </c>
      <c r="P347" s="17" t="str">
        <f aca="false">IF(AND(N347&lt;&gt;"",O347&lt;&gt;"",I347&lt;&gt;"",I347&lt;&gt;0),N347/(O347*9.81*I347),"")</f>
        <v/>
      </c>
      <c r="Q347" s="16"/>
      <c r="R347" s="18"/>
    </row>
    <row r="348" customFormat="false" ht="15" hidden="false" customHeight="false" outlineLevel="0" collapsed="false">
      <c r="A348" s="13" t="n">
        <v>344</v>
      </c>
      <c r="B348" s="13" t="n">
        <v>404</v>
      </c>
      <c r="C348" s="13" t="n">
        <v>81</v>
      </c>
      <c r="D348" s="13" t="n">
        <v>4</v>
      </c>
      <c r="E348" s="13" t="n">
        <v>1.5</v>
      </c>
      <c r="F348" s="13" t="s">
        <v>61</v>
      </c>
      <c r="G348" s="13" t="n">
        <v>10</v>
      </c>
      <c r="H348" s="13" t="n">
        <v>20</v>
      </c>
      <c r="I348" s="19"/>
      <c r="J348" s="19"/>
      <c r="K348" s="17" t="str">
        <f aca="false">IF(AND(I348&lt;&gt;"",J348&lt;&gt;"",J348&lt;&gt;0),I348/J348,"")</f>
        <v/>
      </c>
      <c r="L348" s="19"/>
      <c r="M348" s="19"/>
      <c r="N348" s="19"/>
      <c r="O348" s="19" t="n">
        <v>1.5</v>
      </c>
      <c r="P348" s="17" t="str">
        <f aca="false">IF(AND(N348&lt;&gt;"",O348&lt;&gt;"",I348&lt;&gt;"",I348&lt;&gt;0),N348/(O348*9.81*I348),"")</f>
        <v/>
      </c>
      <c r="Q348" s="19"/>
      <c r="R348" s="20"/>
    </row>
    <row r="349" customFormat="false" ht="15" hidden="false" customHeight="false" outlineLevel="0" collapsed="false">
      <c r="A349" s="11" t="n">
        <v>345</v>
      </c>
      <c r="B349" s="11" t="n">
        <v>372</v>
      </c>
      <c r="C349" s="11" t="n">
        <v>75</v>
      </c>
      <c r="D349" s="11" t="n">
        <v>2</v>
      </c>
      <c r="E349" s="11" t="n">
        <v>1.5</v>
      </c>
      <c r="F349" s="11" t="s">
        <v>61</v>
      </c>
      <c r="G349" s="11" t="n">
        <v>2</v>
      </c>
      <c r="H349" s="11" t="n">
        <v>20</v>
      </c>
      <c r="I349" s="16"/>
      <c r="J349" s="16"/>
      <c r="K349" s="17" t="str">
        <f aca="false">IF(AND(I349&lt;&gt;"",J349&lt;&gt;"",J349&lt;&gt;0),I349/J349,"")</f>
        <v/>
      </c>
      <c r="L349" s="16"/>
      <c r="M349" s="16"/>
      <c r="N349" s="16"/>
      <c r="O349" s="16" t="n">
        <v>1.5</v>
      </c>
      <c r="P349" s="17" t="str">
        <f aca="false">IF(AND(N349&lt;&gt;"",O349&lt;&gt;"",I349&lt;&gt;"",I349&lt;&gt;0),N349/(O349*9.81*I349),"")</f>
        <v/>
      </c>
      <c r="Q349" s="16"/>
      <c r="R349" s="18"/>
    </row>
    <row r="350" customFormat="false" ht="15" hidden="false" customHeight="false" outlineLevel="0" collapsed="false">
      <c r="A350" s="13" t="n">
        <v>346</v>
      </c>
      <c r="B350" s="13" t="n">
        <v>10</v>
      </c>
      <c r="C350" s="13" t="n">
        <v>2</v>
      </c>
      <c r="D350" s="13" t="n">
        <v>5</v>
      </c>
      <c r="E350" s="13" t="n">
        <v>0.5</v>
      </c>
      <c r="F350" s="13" t="s">
        <v>57</v>
      </c>
      <c r="G350" s="13" t="n">
        <v>2</v>
      </c>
      <c r="H350" s="13" t="n">
        <v>10</v>
      </c>
      <c r="I350" s="19"/>
      <c r="J350" s="19"/>
      <c r="K350" s="17" t="str">
        <f aca="false">IF(AND(I350&lt;&gt;"",J350&lt;&gt;"",J350&lt;&gt;0),I350/J350,"")</f>
        <v/>
      </c>
      <c r="L350" s="19"/>
      <c r="M350" s="19"/>
      <c r="N350" s="19"/>
      <c r="O350" s="19" t="n">
        <v>1.5</v>
      </c>
      <c r="P350" s="17" t="str">
        <f aca="false">IF(AND(N350&lt;&gt;"",O350&lt;&gt;"",I350&lt;&gt;"",I350&lt;&gt;0),N350/(O350*9.81*I350),"")</f>
        <v/>
      </c>
      <c r="Q350" s="19"/>
      <c r="R350" s="20"/>
    </row>
    <row r="351" customFormat="false" ht="15" hidden="false" customHeight="false" outlineLevel="0" collapsed="false">
      <c r="A351" s="11" t="n">
        <v>347</v>
      </c>
      <c r="B351" s="11" t="n">
        <v>537</v>
      </c>
      <c r="C351" s="11" t="n">
        <v>108</v>
      </c>
      <c r="D351" s="11" t="n">
        <v>2</v>
      </c>
      <c r="E351" s="11" t="n">
        <v>2</v>
      </c>
      <c r="F351" s="11" t="s">
        <v>61</v>
      </c>
      <c r="G351" s="11" t="n">
        <v>10</v>
      </c>
      <c r="H351" s="11" t="n">
        <v>20</v>
      </c>
      <c r="I351" s="16"/>
      <c r="J351" s="16"/>
      <c r="K351" s="17" t="str">
        <f aca="false">IF(AND(I351&lt;&gt;"",J351&lt;&gt;"",J351&lt;&gt;0),I351/J351,"")</f>
        <v/>
      </c>
      <c r="L351" s="16"/>
      <c r="M351" s="16"/>
      <c r="N351" s="16"/>
      <c r="O351" s="16" t="n">
        <v>1.5</v>
      </c>
      <c r="P351" s="17" t="str">
        <f aca="false">IF(AND(N351&lt;&gt;"",O351&lt;&gt;"",I351&lt;&gt;"",I351&lt;&gt;0),N351/(O351*9.81*I351),"")</f>
        <v/>
      </c>
      <c r="Q351" s="16"/>
      <c r="R351" s="18"/>
    </row>
    <row r="352" customFormat="false" ht="15" hidden="false" customHeight="false" outlineLevel="0" collapsed="false">
      <c r="A352" s="13" t="n">
        <v>348</v>
      </c>
      <c r="B352" s="13" t="n">
        <v>166</v>
      </c>
      <c r="C352" s="13" t="n">
        <v>34</v>
      </c>
      <c r="D352" s="13" t="n">
        <v>1</v>
      </c>
      <c r="E352" s="13" t="n">
        <v>1</v>
      </c>
      <c r="F352" s="13" t="s">
        <v>57</v>
      </c>
      <c r="G352" s="13" t="n">
        <v>10</v>
      </c>
      <c r="H352" s="13" t="n">
        <v>0</v>
      </c>
      <c r="I352" s="19"/>
      <c r="J352" s="19"/>
      <c r="K352" s="17" t="str">
        <f aca="false">IF(AND(I352&lt;&gt;"",J352&lt;&gt;"",J352&lt;&gt;0),I352/J352,"")</f>
        <v/>
      </c>
      <c r="L352" s="19"/>
      <c r="M352" s="19"/>
      <c r="N352" s="19"/>
      <c r="O352" s="19" t="n">
        <v>1.5</v>
      </c>
      <c r="P352" s="17" t="str">
        <f aca="false">IF(AND(N352&lt;&gt;"",O352&lt;&gt;"",I352&lt;&gt;"",I352&lt;&gt;0),N352/(O352*9.81*I352),"")</f>
        <v/>
      </c>
      <c r="Q352" s="19"/>
      <c r="R352" s="20"/>
    </row>
    <row r="353" customFormat="false" ht="15" hidden="false" customHeight="false" outlineLevel="0" collapsed="false">
      <c r="A353" s="11" t="n">
        <v>349</v>
      </c>
      <c r="B353" s="11" t="n">
        <v>307</v>
      </c>
      <c r="C353" s="11" t="n">
        <v>62</v>
      </c>
      <c r="D353" s="11" t="n">
        <v>2</v>
      </c>
      <c r="E353" s="11" t="n">
        <v>1.5</v>
      </c>
      <c r="F353" s="11" t="s">
        <v>57</v>
      </c>
      <c r="G353" s="11" t="n">
        <v>10</v>
      </c>
      <c r="H353" s="11" t="n">
        <v>10</v>
      </c>
      <c r="I353" s="16"/>
      <c r="J353" s="16"/>
      <c r="K353" s="17" t="str">
        <f aca="false">IF(AND(I353&lt;&gt;"",J353&lt;&gt;"",J353&lt;&gt;0),I353/J353,"")</f>
        <v/>
      </c>
      <c r="L353" s="16"/>
      <c r="M353" s="16"/>
      <c r="N353" s="16"/>
      <c r="O353" s="16" t="n">
        <v>1.5</v>
      </c>
      <c r="P353" s="17" t="str">
        <f aca="false">IF(AND(N353&lt;&gt;"",O353&lt;&gt;"",I353&lt;&gt;"",I353&lt;&gt;0),N353/(O353*9.81*I353),"")</f>
        <v/>
      </c>
      <c r="Q353" s="16"/>
      <c r="R353" s="18"/>
    </row>
    <row r="354" customFormat="false" ht="15" hidden="false" customHeight="false" outlineLevel="0" collapsed="false">
      <c r="A354" s="13" t="n">
        <v>350</v>
      </c>
      <c r="B354" s="13" t="n">
        <v>1</v>
      </c>
      <c r="C354" s="13" t="n">
        <v>1</v>
      </c>
      <c r="D354" s="13" t="n">
        <v>1</v>
      </c>
      <c r="E354" s="13" t="n">
        <v>0.5</v>
      </c>
      <c r="F354" s="13" t="s">
        <v>57</v>
      </c>
      <c r="G354" s="13" t="n">
        <v>2</v>
      </c>
      <c r="H354" s="13" t="n">
        <v>0</v>
      </c>
      <c r="I354" s="19"/>
      <c r="J354" s="19"/>
      <c r="K354" s="17" t="str">
        <f aca="false">IF(AND(I354&lt;&gt;"",J354&lt;&gt;"",J354&lt;&gt;0),I354/J354,"")</f>
        <v/>
      </c>
      <c r="L354" s="19"/>
      <c r="M354" s="19"/>
      <c r="N354" s="19"/>
      <c r="O354" s="19" t="n">
        <v>1.5</v>
      </c>
      <c r="P354" s="17" t="str">
        <f aca="false">IF(AND(N354&lt;&gt;"",O354&lt;&gt;"",I354&lt;&gt;"",I354&lt;&gt;0),N354/(O354*9.81*I354),"")</f>
        <v/>
      </c>
      <c r="Q354" s="19"/>
      <c r="R354" s="20"/>
    </row>
    <row r="355" customFormat="false" ht="15" hidden="false" customHeight="false" outlineLevel="0" collapsed="false">
      <c r="A355" s="11" t="n">
        <v>351</v>
      </c>
      <c r="B355" s="11" t="n">
        <v>272</v>
      </c>
      <c r="C355" s="11" t="n">
        <v>55</v>
      </c>
      <c r="D355" s="11" t="n">
        <v>2</v>
      </c>
      <c r="E355" s="11" t="n">
        <v>1.5</v>
      </c>
      <c r="F355" s="11" t="s">
        <v>57</v>
      </c>
      <c r="G355" s="11" t="n">
        <v>2</v>
      </c>
      <c r="H355" s="11" t="n">
        <v>0</v>
      </c>
      <c r="I355" s="16"/>
      <c r="J355" s="16"/>
      <c r="K355" s="17" t="str">
        <f aca="false">IF(AND(I355&lt;&gt;"",J355&lt;&gt;"",J355&lt;&gt;0),I355/J355,"")</f>
        <v/>
      </c>
      <c r="L355" s="16"/>
      <c r="M355" s="16"/>
      <c r="N355" s="16"/>
      <c r="O355" s="16" t="n">
        <v>1.5</v>
      </c>
      <c r="P355" s="17" t="str">
        <f aca="false">IF(AND(N355&lt;&gt;"",O355&lt;&gt;"",I355&lt;&gt;"",I355&lt;&gt;0),N355/(O355*9.81*I355),"")</f>
        <v/>
      </c>
      <c r="Q355" s="16"/>
      <c r="R355" s="18"/>
    </row>
    <row r="356" customFormat="false" ht="15" hidden="false" customHeight="false" outlineLevel="0" collapsed="false">
      <c r="A356" s="13" t="n">
        <v>352</v>
      </c>
      <c r="B356" s="13" t="n">
        <v>277</v>
      </c>
      <c r="C356" s="13" t="n">
        <v>56</v>
      </c>
      <c r="D356" s="13" t="n">
        <v>2</v>
      </c>
      <c r="E356" s="13" t="n">
        <v>1.5</v>
      </c>
      <c r="F356" s="13" t="s">
        <v>57</v>
      </c>
      <c r="G356" s="13" t="n">
        <v>2</v>
      </c>
      <c r="H356" s="13" t="n">
        <v>10</v>
      </c>
      <c r="I356" s="19"/>
      <c r="J356" s="19"/>
      <c r="K356" s="17" t="str">
        <f aca="false">IF(AND(I356&lt;&gt;"",J356&lt;&gt;"",J356&lt;&gt;0),I356/J356,"")</f>
        <v/>
      </c>
      <c r="L356" s="19"/>
      <c r="M356" s="19"/>
      <c r="N356" s="19"/>
      <c r="O356" s="19" t="n">
        <v>1.5</v>
      </c>
      <c r="P356" s="17" t="str">
        <f aca="false">IF(AND(N356&lt;&gt;"",O356&lt;&gt;"",I356&lt;&gt;"",I356&lt;&gt;0),N356/(O356*9.81*I356),"")</f>
        <v/>
      </c>
      <c r="Q356" s="19"/>
      <c r="R356" s="20"/>
    </row>
    <row r="357" customFormat="false" ht="15" hidden="false" customHeight="false" outlineLevel="0" collapsed="false">
      <c r="A357" s="11" t="n">
        <v>353</v>
      </c>
      <c r="B357" s="11" t="n">
        <v>83</v>
      </c>
      <c r="C357" s="11" t="n">
        <v>17</v>
      </c>
      <c r="D357" s="11" t="n">
        <v>3</v>
      </c>
      <c r="E357" s="11" t="n">
        <v>0.5</v>
      </c>
      <c r="F357" s="11" t="s">
        <v>59</v>
      </c>
      <c r="G357" s="11" t="n">
        <v>10</v>
      </c>
      <c r="H357" s="11" t="n">
        <v>10</v>
      </c>
      <c r="I357" s="16"/>
      <c r="J357" s="16"/>
      <c r="K357" s="17" t="str">
        <f aca="false">IF(AND(I357&lt;&gt;"",J357&lt;&gt;"",J357&lt;&gt;0),I357/J357,"")</f>
        <v/>
      </c>
      <c r="L357" s="16"/>
      <c r="M357" s="16"/>
      <c r="N357" s="16"/>
      <c r="O357" s="16" t="n">
        <v>1.5</v>
      </c>
      <c r="P357" s="17" t="str">
        <f aca="false">IF(AND(N357&lt;&gt;"",O357&lt;&gt;"",I357&lt;&gt;"",I357&lt;&gt;0),N357/(O357*9.81*I357),"")</f>
        <v/>
      </c>
      <c r="Q357" s="16"/>
      <c r="R357" s="18"/>
    </row>
    <row r="358" customFormat="false" ht="15" hidden="false" customHeight="false" outlineLevel="0" collapsed="false">
      <c r="A358" s="13" t="n">
        <v>354</v>
      </c>
      <c r="B358" s="13" t="n">
        <v>192</v>
      </c>
      <c r="C358" s="13" t="n">
        <v>39</v>
      </c>
      <c r="D358" s="13" t="n">
        <v>2</v>
      </c>
      <c r="E358" s="13" t="n">
        <v>1</v>
      </c>
      <c r="F358" s="13" t="s">
        <v>59</v>
      </c>
      <c r="G358" s="13" t="n">
        <v>2</v>
      </c>
      <c r="H358" s="13" t="n">
        <v>20</v>
      </c>
      <c r="I358" s="19"/>
      <c r="J358" s="19"/>
      <c r="K358" s="17" t="str">
        <f aca="false">IF(AND(I358&lt;&gt;"",J358&lt;&gt;"",J358&lt;&gt;0),I358/J358,"")</f>
        <v/>
      </c>
      <c r="L358" s="19"/>
      <c r="M358" s="19"/>
      <c r="N358" s="19"/>
      <c r="O358" s="19" t="n">
        <v>1.5</v>
      </c>
      <c r="P358" s="17" t="str">
        <f aca="false">IF(AND(N358&lt;&gt;"",O358&lt;&gt;"",I358&lt;&gt;"",I358&lt;&gt;0),N358/(O358*9.81*I358),"")</f>
        <v/>
      </c>
      <c r="Q358" s="19"/>
      <c r="R358" s="20"/>
    </row>
    <row r="359" customFormat="false" ht="15" hidden="false" customHeight="false" outlineLevel="0" collapsed="false">
      <c r="A359" s="11" t="n">
        <v>355</v>
      </c>
      <c r="B359" s="11" t="n">
        <v>395</v>
      </c>
      <c r="C359" s="11" t="n">
        <v>79</v>
      </c>
      <c r="D359" s="11" t="n">
        <v>5</v>
      </c>
      <c r="E359" s="11" t="n">
        <v>1.5</v>
      </c>
      <c r="F359" s="11" t="s">
        <v>61</v>
      </c>
      <c r="G359" s="11" t="n">
        <v>10</v>
      </c>
      <c r="H359" s="11" t="n">
        <v>0</v>
      </c>
      <c r="I359" s="16"/>
      <c r="J359" s="16"/>
      <c r="K359" s="17" t="str">
        <f aca="false">IF(AND(I359&lt;&gt;"",J359&lt;&gt;"",J359&lt;&gt;0),I359/J359,"")</f>
        <v/>
      </c>
      <c r="L359" s="16"/>
      <c r="M359" s="16"/>
      <c r="N359" s="16"/>
      <c r="O359" s="16" t="n">
        <v>1.5</v>
      </c>
      <c r="P359" s="17" t="str">
        <f aca="false">IF(AND(N359&lt;&gt;"",O359&lt;&gt;"",I359&lt;&gt;"",I359&lt;&gt;0),N359/(O359*9.81*I359),"")</f>
        <v/>
      </c>
      <c r="Q359" s="16"/>
      <c r="R359" s="18"/>
    </row>
    <row r="360" customFormat="false" ht="15" hidden="false" customHeight="false" outlineLevel="0" collapsed="false">
      <c r="A360" s="13" t="n">
        <v>356</v>
      </c>
      <c r="B360" s="13" t="n">
        <v>102</v>
      </c>
      <c r="C360" s="13" t="n">
        <v>21</v>
      </c>
      <c r="D360" s="13" t="n">
        <v>2</v>
      </c>
      <c r="E360" s="13" t="n">
        <v>0.5</v>
      </c>
      <c r="F360" s="13" t="s">
        <v>61</v>
      </c>
      <c r="G360" s="13" t="n">
        <v>2</v>
      </c>
      <c r="H360" s="13" t="n">
        <v>20</v>
      </c>
      <c r="I360" s="19"/>
      <c r="J360" s="19"/>
      <c r="K360" s="17" t="str">
        <f aca="false">IF(AND(I360&lt;&gt;"",J360&lt;&gt;"",J360&lt;&gt;0),I360/J360,"")</f>
        <v/>
      </c>
      <c r="L360" s="19"/>
      <c r="M360" s="19"/>
      <c r="N360" s="19"/>
      <c r="O360" s="19" t="n">
        <v>1.5</v>
      </c>
      <c r="P360" s="17" t="str">
        <f aca="false">IF(AND(N360&lt;&gt;"",O360&lt;&gt;"",I360&lt;&gt;"",I360&lt;&gt;0),N360/(O360*9.81*I360),"")</f>
        <v/>
      </c>
      <c r="Q360" s="19"/>
      <c r="R360" s="20"/>
    </row>
    <row r="361" customFormat="false" ht="15" hidden="false" customHeight="false" outlineLevel="0" collapsed="false">
      <c r="A361" s="11" t="n">
        <v>357</v>
      </c>
      <c r="B361" s="11" t="n">
        <v>455</v>
      </c>
      <c r="C361" s="11" t="n">
        <v>91</v>
      </c>
      <c r="D361" s="11" t="n">
        <v>5</v>
      </c>
      <c r="E361" s="11" t="n">
        <v>2</v>
      </c>
      <c r="F361" s="11" t="s">
        <v>59</v>
      </c>
      <c r="G361" s="11" t="n">
        <v>2</v>
      </c>
      <c r="H361" s="11" t="n">
        <v>0</v>
      </c>
      <c r="I361" s="16"/>
      <c r="J361" s="16"/>
      <c r="K361" s="17" t="str">
        <f aca="false">IF(AND(I361&lt;&gt;"",J361&lt;&gt;"",J361&lt;&gt;0),I361/J361,"")</f>
        <v/>
      </c>
      <c r="L361" s="16"/>
      <c r="M361" s="16"/>
      <c r="N361" s="16"/>
      <c r="O361" s="16" t="n">
        <v>1.5</v>
      </c>
      <c r="P361" s="17" t="str">
        <f aca="false">IF(AND(N361&lt;&gt;"",O361&lt;&gt;"",I361&lt;&gt;"",I361&lt;&gt;0),N361/(O361*9.81*I361),"")</f>
        <v/>
      </c>
      <c r="Q361" s="16"/>
      <c r="R361" s="18"/>
    </row>
    <row r="362" customFormat="false" ht="15" hidden="false" customHeight="false" outlineLevel="0" collapsed="false">
      <c r="A362" s="13" t="n">
        <v>358</v>
      </c>
      <c r="B362" s="13" t="n">
        <v>363</v>
      </c>
      <c r="C362" s="13" t="n">
        <v>73</v>
      </c>
      <c r="D362" s="13" t="n">
        <v>3</v>
      </c>
      <c r="E362" s="13" t="n">
        <v>1.5</v>
      </c>
      <c r="F362" s="13" t="s">
        <v>61</v>
      </c>
      <c r="G362" s="13" t="n">
        <v>2</v>
      </c>
      <c r="H362" s="13" t="n">
        <v>0</v>
      </c>
      <c r="I362" s="19"/>
      <c r="J362" s="19"/>
      <c r="K362" s="17" t="str">
        <f aca="false">IF(AND(I362&lt;&gt;"",J362&lt;&gt;"",J362&lt;&gt;0),I362/J362,"")</f>
        <v/>
      </c>
      <c r="L362" s="19"/>
      <c r="M362" s="19"/>
      <c r="N362" s="19"/>
      <c r="O362" s="19" t="n">
        <v>1.5</v>
      </c>
      <c r="P362" s="17" t="str">
        <f aca="false">IF(AND(N362&lt;&gt;"",O362&lt;&gt;"",I362&lt;&gt;"",I362&lt;&gt;0),N362/(O362*9.81*I362),"")</f>
        <v/>
      </c>
      <c r="Q362" s="19"/>
      <c r="R362" s="20"/>
    </row>
    <row r="363" customFormat="false" ht="15" hidden="false" customHeight="false" outlineLevel="0" collapsed="false">
      <c r="A363" s="11" t="n">
        <v>359</v>
      </c>
      <c r="B363" s="11" t="n">
        <v>445</v>
      </c>
      <c r="C363" s="11" t="n">
        <v>89</v>
      </c>
      <c r="D363" s="11" t="n">
        <v>5</v>
      </c>
      <c r="E363" s="11" t="n">
        <v>2</v>
      </c>
      <c r="F363" s="11" t="s">
        <v>57</v>
      </c>
      <c r="G363" s="11" t="n">
        <v>10</v>
      </c>
      <c r="H363" s="11" t="n">
        <v>10</v>
      </c>
      <c r="I363" s="16"/>
      <c r="J363" s="16"/>
      <c r="K363" s="17" t="str">
        <f aca="false">IF(AND(I363&lt;&gt;"",J363&lt;&gt;"",J363&lt;&gt;0),I363/J363,"")</f>
        <v/>
      </c>
      <c r="L363" s="16"/>
      <c r="M363" s="16"/>
      <c r="N363" s="16"/>
      <c r="O363" s="16" t="n">
        <v>1.5</v>
      </c>
      <c r="P363" s="17" t="str">
        <f aca="false">IF(AND(N363&lt;&gt;"",O363&lt;&gt;"",I363&lt;&gt;"",I363&lt;&gt;0),N363/(O363*9.81*I363),"")</f>
        <v/>
      </c>
      <c r="Q363" s="16"/>
      <c r="R363" s="18"/>
    </row>
    <row r="364" customFormat="false" ht="15" hidden="false" customHeight="false" outlineLevel="0" collapsed="false">
      <c r="A364" s="13" t="n">
        <v>360</v>
      </c>
      <c r="B364" s="13" t="n">
        <v>153</v>
      </c>
      <c r="C364" s="13" t="n">
        <v>31</v>
      </c>
      <c r="D364" s="13" t="n">
        <v>3</v>
      </c>
      <c r="E364" s="13" t="n">
        <v>1</v>
      </c>
      <c r="F364" s="13" t="s">
        <v>57</v>
      </c>
      <c r="G364" s="13" t="n">
        <v>5</v>
      </c>
      <c r="H364" s="13" t="n">
        <v>0</v>
      </c>
      <c r="I364" s="19"/>
      <c r="J364" s="19"/>
      <c r="K364" s="17" t="str">
        <f aca="false">IF(AND(I364&lt;&gt;"",J364&lt;&gt;"",J364&lt;&gt;0),I364/J364,"")</f>
        <v/>
      </c>
      <c r="L364" s="19"/>
      <c r="M364" s="19"/>
      <c r="N364" s="19"/>
      <c r="O364" s="19" t="n">
        <v>1.5</v>
      </c>
      <c r="P364" s="17" t="str">
        <f aca="false">IF(AND(N364&lt;&gt;"",O364&lt;&gt;"",I364&lt;&gt;"",I364&lt;&gt;0),N364/(O364*9.81*I364),"")</f>
        <v/>
      </c>
      <c r="Q364" s="19"/>
      <c r="R364" s="20"/>
    </row>
    <row r="365" customFormat="false" ht="15" hidden="false" customHeight="false" outlineLevel="0" collapsed="false">
      <c r="A365" s="11" t="n">
        <v>361</v>
      </c>
      <c r="B365" s="11" t="n">
        <v>321</v>
      </c>
      <c r="C365" s="11" t="n">
        <v>65</v>
      </c>
      <c r="D365" s="11" t="n">
        <v>1</v>
      </c>
      <c r="E365" s="11" t="n">
        <v>1.5</v>
      </c>
      <c r="F365" s="11" t="s">
        <v>59</v>
      </c>
      <c r="G365" s="11" t="n">
        <v>2</v>
      </c>
      <c r="H365" s="11" t="n">
        <v>10</v>
      </c>
      <c r="I365" s="16"/>
      <c r="J365" s="16"/>
      <c r="K365" s="17" t="str">
        <f aca="false">IF(AND(I365&lt;&gt;"",J365&lt;&gt;"",J365&lt;&gt;0),I365/J365,"")</f>
        <v/>
      </c>
      <c r="L365" s="16"/>
      <c r="M365" s="16"/>
      <c r="N365" s="16"/>
      <c r="O365" s="16" t="n">
        <v>1.5</v>
      </c>
      <c r="P365" s="17" t="str">
        <f aca="false">IF(AND(N365&lt;&gt;"",O365&lt;&gt;"",I365&lt;&gt;"",I365&lt;&gt;0),N365/(O365*9.81*I365),"")</f>
        <v/>
      </c>
      <c r="Q365" s="16"/>
      <c r="R365" s="18"/>
    </row>
    <row r="366" customFormat="false" ht="15" hidden="false" customHeight="false" outlineLevel="0" collapsed="false">
      <c r="A366" s="13" t="n">
        <v>362</v>
      </c>
      <c r="B366" s="13" t="n">
        <v>55</v>
      </c>
      <c r="C366" s="13" t="n">
        <v>11</v>
      </c>
      <c r="D366" s="13" t="n">
        <v>5</v>
      </c>
      <c r="E366" s="13" t="n">
        <v>0.5</v>
      </c>
      <c r="F366" s="13" t="s">
        <v>59</v>
      </c>
      <c r="G366" s="13" t="n">
        <v>2</v>
      </c>
      <c r="H366" s="13" t="n">
        <v>10</v>
      </c>
      <c r="I366" s="19"/>
      <c r="J366" s="19"/>
      <c r="K366" s="17" t="str">
        <f aca="false">IF(AND(I366&lt;&gt;"",J366&lt;&gt;"",J366&lt;&gt;0),I366/J366,"")</f>
        <v/>
      </c>
      <c r="L366" s="19"/>
      <c r="M366" s="19"/>
      <c r="N366" s="19"/>
      <c r="O366" s="19" t="n">
        <v>1.5</v>
      </c>
      <c r="P366" s="17" t="str">
        <f aca="false">IF(AND(N366&lt;&gt;"",O366&lt;&gt;"",I366&lt;&gt;"",I366&lt;&gt;0),N366/(O366*9.81*I366),"")</f>
        <v/>
      </c>
      <c r="Q366" s="19"/>
      <c r="R366" s="20"/>
    </row>
    <row r="367" customFormat="false" ht="15" hidden="false" customHeight="false" outlineLevel="0" collapsed="false">
      <c r="A367" s="11" t="n">
        <v>363</v>
      </c>
      <c r="B367" s="11" t="n">
        <v>260</v>
      </c>
      <c r="C367" s="11" t="n">
        <v>52</v>
      </c>
      <c r="D367" s="11" t="n">
        <v>5</v>
      </c>
      <c r="E367" s="11" t="n">
        <v>1</v>
      </c>
      <c r="F367" s="11" t="s">
        <v>61</v>
      </c>
      <c r="G367" s="11" t="n">
        <v>10</v>
      </c>
      <c r="H367" s="11" t="n">
        <v>0</v>
      </c>
      <c r="I367" s="16"/>
      <c r="J367" s="16"/>
      <c r="K367" s="17" t="str">
        <f aca="false">IF(AND(I367&lt;&gt;"",J367&lt;&gt;"",J367&lt;&gt;0),I367/J367,"")</f>
        <v/>
      </c>
      <c r="L367" s="16"/>
      <c r="M367" s="16"/>
      <c r="N367" s="16"/>
      <c r="O367" s="16" t="n">
        <v>1.5</v>
      </c>
      <c r="P367" s="17" t="str">
        <f aca="false">IF(AND(N367&lt;&gt;"",O367&lt;&gt;"",I367&lt;&gt;"",I367&lt;&gt;0),N367/(O367*9.81*I367),"")</f>
        <v/>
      </c>
      <c r="Q367" s="16"/>
      <c r="R367" s="18"/>
    </row>
    <row r="368" customFormat="false" ht="15" hidden="false" customHeight="false" outlineLevel="0" collapsed="false">
      <c r="A368" s="13" t="n">
        <v>364</v>
      </c>
      <c r="B368" s="13" t="n">
        <v>92</v>
      </c>
      <c r="C368" s="13" t="n">
        <v>19</v>
      </c>
      <c r="D368" s="13" t="n">
        <v>2</v>
      </c>
      <c r="E368" s="13" t="n">
        <v>0.5</v>
      </c>
      <c r="F368" s="13" t="s">
        <v>61</v>
      </c>
      <c r="G368" s="13" t="n">
        <v>2</v>
      </c>
      <c r="H368" s="13" t="n">
        <v>0</v>
      </c>
      <c r="I368" s="19"/>
      <c r="J368" s="19"/>
      <c r="K368" s="17" t="str">
        <f aca="false">IF(AND(I368&lt;&gt;"",J368&lt;&gt;"",J368&lt;&gt;0),I368/J368,"")</f>
        <v/>
      </c>
      <c r="L368" s="19"/>
      <c r="M368" s="19"/>
      <c r="N368" s="19"/>
      <c r="O368" s="19" t="n">
        <v>1.5</v>
      </c>
      <c r="P368" s="17" t="str">
        <f aca="false">IF(AND(N368&lt;&gt;"",O368&lt;&gt;"",I368&lt;&gt;"",I368&lt;&gt;0),N368/(O368*9.81*I368),"")</f>
        <v/>
      </c>
      <c r="Q368" s="19"/>
      <c r="R368" s="20"/>
    </row>
    <row r="369" customFormat="false" ht="15" hidden="false" customHeight="false" outlineLevel="0" collapsed="false">
      <c r="A369" s="11" t="n">
        <v>365</v>
      </c>
      <c r="B369" s="11" t="n">
        <v>257</v>
      </c>
      <c r="C369" s="11" t="n">
        <v>52</v>
      </c>
      <c r="D369" s="11" t="n">
        <v>2</v>
      </c>
      <c r="E369" s="11" t="n">
        <v>1</v>
      </c>
      <c r="F369" s="11" t="s">
        <v>61</v>
      </c>
      <c r="G369" s="11" t="n">
        <v>10</v>
      </c>
      <c r="H369" s="11" t="n">
        <v>0</v>
      </c>
      <c r="I369" s="16"/>
      <c r="J369" s="16"/>
      <c r="K369" s="17" t="str">
        <f aca="false">IF(AND(I369&lt;&gt;"",J369&lt;&gt;"",J369&lt;&gt;0),I369/J369,"")</f>
        <v/>
      </c>
      <c r="L369" s="16"/>
      <c r="M369" s="16"/>
      <c r="N369" s="16"/>
      <c r="O369" s="16" t="n">
        <v>1.5</v>
      </c>
      <c r="P369" s="17" t="str">
        <f aca="false">IF(AND(N369&lt;&gt;"",O369&lt;&gt;"",I369&lt;&gt;"",I369&lt;&gt;0),N369/(O369*9.81*I369),"")</f>
        <v/>
      </c>
      <c r="Q369" s="16"/>
      <c r="R369" s="18"/>
    </row>
    <row r="370" customFormat="false" ht="15" hidden="false" customHeight="false" outlineLevel="0" collapsed="false">
      <c r="A370" s="13" t="n">
        <v>366</v>
      </c>
      <c r="B370" s="13" t="n">
        <v>410</v>
      </c>
      <c r="C370" s="13" t="n">
        <v>82</v>
      </c>
      <c r="D370" s="13" t="n">
        <v>5</v>
      </c>
      <c r="E370" s="13" t="n">
        <v>2</v>
      </c>
      <c r="F370" s="13" t="s">
        <v>57</v>
      </c>
      <c r="G370" s="13" t="n">
        <v>2</v>
      </c>
      <c r="H370" s="13" t="n">
        <v>0</v>
      </c>
      <c r="I370" s="19"/>
      <c r="J370" s="19"/>
      <c r="K370" s="17" t="str">
        <f aca="false">IF(AND(I370&lt;&gt;"",J370&lt;&gt;"",J370&lt;&gt;0),I370/J370,"")</f>
        <v/>
      </c>
      <c r="L370" s="19"/>
      <c r="M370" s="19"/>
      <c r="N370" s="19"/>
      <c r="O370" s="19" t="n">
        <v>1.5</v>
      </c>
      <c r="P370" s="17" t="str">
        <f aca="false">IF(AND(N370&lt;&gt;"",O370&lt;&gt;"",I370&lt;&gt;"",I370&lt;&gt;0),N370/(O370*9.81*I370),"")</f>
        <v/>
      </c>
      <c r="Q370" s="19"/>
      <c r="R370" s="20"/>
    </row>
    <row r="371" customFormat="false" ht="15" hidden="false" customHeight="false" outlineLevel="0" collapsed="false">
      <c r="A371" s="11" t="n">
        <v>367</v>
      </c>
      <c r="B371" s="11" t="n">
        <v>2</v>
      </c>
      <c r="C371" s="11" t="n">
        <v>1</v>
      </c>
      <c r="D371" s="11" t="n">
        <v>2</v>
      </c>
      <c r="E371" s="11" t="n">
        <v>0.5</v>
      </c>
      <c r="F371" s="11" t="s">
        <v>57</v>
      </c>
      <c r="G371" s="11" t="n">
        <v>2</v>
      </c>
      <c r="H371" s="11" t="n">
        <v>0</v>
      </c>
      <c r="I371" s="16"/>
      <c r="J371" s="16"/>
      <c r="K371" s="17" t="str">
        <f aca="false">IF(AND(I371&lt;&gt;"",J371&lt;&gt;"",J371&lt;&gt;0),I371/J371,"")</f>
        <v/>
      </c>
      <c r="L371" s="16"/>
      <c r="M371" s="16"/>
      <c r="N371" s="16"/>
      <c r="O371" s="16" t="n">
        <v>1.5</v>
      </c>
      <c r="P371" s="17" t="str">
        <f aca="false">IF(AND(N371&lt;&gt;"",O371&lt;&gt;"",I371&lt;&gt;"",I371&lt;&gt;0),N371/(O371*9.81*I371),"")</f>
        <v/>
      </c>
      <c r="Q371" s="16"/>
      <c r="R371" s="18"/>
    </row>
    <row r="372" customFormat="false" ht="15" hidden="false" customHeight="false" outlineLevel="0" collapsed="false">
      <c r="A372" s="13" t="n">
        <v>368</v>
      </c>
      <c r="B372" s="13" t="n">
        <v>469</v>
      </c>
      <c r="C372" s="13" t="n">
        <v>94</v>
      </c>
      <c r="D372" s="13" t="n">
        <v>4</v>
      </c>
      <c r="E372" s="13" t="n">
        <v>2</v>
      </c>
      <c r="F372" s="13" t="s">
        <v>59</v>
      </c>
      <c r="G372" s="13" t="n">
        <v>5</v>
      </c>
      <c r="H372" s="13" t="n">
        <v>0</v>
      </c>
      <c r="I372" s="19"/>
      <c r="J372" s="19"/>
      <c r="K372" s="17" t="str">
        <f aca="false">IF(AND(I372&lt;&gt;"",J372&lt;&gt;"",J372&lt;&gt;0),I372/J372,"")</f>
        <v/>
      </c>
      <c r="L372" s="19"/>
      <c r="M372" s="19"/>
      <c r="N372" s="19"/>
      <c r="O372" s="19" t="n">
        <v>1.5</v>
      </c>
      <c r="P372" s="17" t="str">
        <f aca="false">IF(AND(N372&lt;&gt;"",O372&lt;&gt;"",I372&lt;&gt;"",I372&lt;&gt;0),N372/(O372*9.81*I372),"")</f>
        <v/>
      </c>
      <c r="Q372" s="19"/>
      <c r="R372" s="20"/>
    </row>
    <row r="373" customFormat="false" ht="15" hidden="false" customHeight="false" outlineLevel="0" collapsed="false">
      <c r="A373" s="11" t="n">
        <v>369</v>
      </c>
      <c r="B373" s="11" t="n">
        <v>81</v>
      </c>
      <c r="C373" s="11" t="n">
        <v>17</v>
      </c>
      <c r="D373" s="11" t="n">
        <v>1</v>
      </c>
      <c r="E373" s="11" t="n">
        <v>0.5</v>
      </c>
      <c r="F373" s="11" t="s">
        <v>59</v>
      </c>
      <c r="G373" s="11" t="n">
        <v>10</v>
      </c>
      <c r="H373" s="11" t="n">
        <v>10</v>
      </c>
      <c r="I373" s="16"/>
      <c r="J373" s="16"/>
      <c r="K373" s="17" t="str">
        <f aca="false">IF(AND(I373&lt;&gt;"",J373&lt;&gt;"",J373&lt;&gt;0),I373/J373,"")</f>
        <v/>
      </c>
      <c r="L373" s="16"/>
      <c r="M373" s="16"/>
      <c r="N373" s="16"/>
      <c r="O373" s="16" t="n">
        <v>1.5</v>
      </c>
      <c r="P373" s="17" t="str">
        <f aca="false">IF(AND(N373&lt;&gt;"",O373&lt;&gt;"",I373&lt;&gt;"",I373&lt;&gt;0),N373/(O373*9.81*I373),"")</f>
        <v/>
      </c>
      <c r="Q373" s="16"/>
      <c r="R373" s="18"/>
    </row>
    <row r="374" customFormat="false" ht="15" hidden="false" customHeight="false" outlineLevel="0" collapsed="false">
      <c r="A374" s="13" t="n">
        <v>370</v>
      </c>
      <c r="B374" s="13" t="n">
        <v>223</v>
      </c>
      <c r="C374" s="13" t="n">
        <v>45</v>
      </c>
      <c r="D374" s="13" t="n">
        <v>3</v>
      </c>
      <c r="E374" s="13" t="n">
        <v>1</v>
      </c>
      <c r="F374" s="13" t="s">
        <v>59</v>
      </c>
      <c r="G374" s="13" t="n">
        <v>10</v>
      </c>
      <c r="H374" s="13" t="n">
        <v>20</v>
      </c>
      <c r="I374" s="19"/>
      <c r="J374" s="19"/>
      <c r="K374" s="17" t="str">
        <f aca="false">IF(AND(I374&lt;&gt;"",J374&lt;&gt;"",J374&lt;&gt;0),I374/J374,"")</f>
        <v/>
      </c>
      <c r="L374" s="19"/>
      <c r="M374" s="19"/>
      <c r="N374" s="19"/>
      <c r="O374" s="19" t="n">
        <v>1.5</v>
      </c>
      <c r="P374" s="17" t="str">
        <f aca="false">IF(AND(N374&lt;&gt;"",O374&lt;&gt;"",I374&lt;&gt;"",I374&lt;&gt;0),N374/(O374*9.81*I374),"")</f>
        <v/>
      </c>
      <c r="Q374" s="19"/>
      <c r="R374" s="20"/>
    </row>
    <row r="375" customFormat="false" ht="15" hidden="false" customHeight="false" outlineLevel="0" collapsed="false">
      <c r="A375" s="11" t="n">
        <v>371</v>
      </c>
      <c r="B375" s="11" t="n">
        <v>492</v>
      </c>
      <c r="C375" s="11" t="n">
        <v>99</v>
      </c>
      <c r="D375" s="11" t="n">
        <v>2</v>
      </c>
      <c r="E375" s="11" t="n">
        <v>2</v>
      </c>
      <c r="F375" s="11" t="s">
        <v>59</v>
      </c>
      <c r="G375" s="11" t="n">
        <v>10</v>
      </c>
      <c r="H375" s="11" t="n">
        <v>20</v>
      </c>
      <c r="I375" s="16"/>
      <c r="J375" s="16"/>
      <c r="K375" s="17" t="str">
        <f aca="false">IF(AND(I375&lt;&gt;"",J375&lt;&gt;"",J375&lt;&gt;0),I375/J375,"")</f>
        <v/>
      </c>
      <c r="L375" s="16"/>
      <c r="M375" s="16"/>
      <c r="N375" s="16"/>
      <c r="O375" s="16" t="n">
        <v>1.5</v>
      </c>
      <c r="P375" s="17" t="str">
        <f aca="false">IF(AND(N375&lt;&gt;"",O375&lt;&gt;"",I375&lt;&gt;"",I375&lt;&gt;0),N375/(O375*9.81*I375),"")</f>
        <v/>
      </c>
      <c r="Q375" s="16"/>
      <c r="R375" s="18"/>
    </row>
    <row r="376" customFormat="false" ht="15" hidden="false" customHeight="false" outlineLevel="0" collapsed="false">
      <c r="A376" s="13" t="n">
        <v>372</v>
      </c>
      <c r="B376" s="13" t="n">
        <v>58</v>
      </c>
      <c r="C376" s="13" t="n">
        <v>12</v>
      </c>
      <c r="D376" s="13" t="n">
        <v>3</v>
      </c>
      <c r="E376" s="13" t="n">
        <v>0.5</v>
      </c>
      <c r="F376" s="13" t="s">
        <v>59</v>
      </c>
      <c r="G376" s="13" t="n">
        <v>2</v>
      </c>
      <c r="H376" s="13" t="n">
        <v>20</v>
      </c>
      <c r="I376" s="19"/>
      <c r="J376" s="19"/>
      <c r="K376" s="17" t="str">
        <f aca="false">IF(AND(I376&lt;&gt;"",J376&lt;&gt;"",J376&lt;&gt;0),I376/J376,"")</f>
        <v/>
      </c>
      <c r="L376" s="19"/>
      <c r="M376" s="19"/>
      <c r="N376" s="19"/>
      <c r="O376" s="19" t="n">
        <v>1.5</v>
      </c>
      <c r="P376" s="17" t="str">
        <f aca="false">IF(AND(N376&lt;&gt;"",O376&lt;&gt;"",I376&lt;&gt;"",I376&lt;&gt;0),N376/(O376*9.81*I376),"")</f>
        <v/>
      </c>
      <c r="Q376" s="19"/>
      <c r="R376" s="20"/>
    </row>
    <row r="377" customFormat="false" ht="15" hidden="false" customHeight="false" outlineLevel="0" collapsed="false">
      <c r="A377" s="11" t="n">
        <v>373</v>
      </c>
      <c r="B377" s="11" t="n">
        <v>175</v>
      </c>
      <c r="C377" s="11" t="n">
        <v>35</v>
      </c>
      <c r="D377" s="11" t="n">
        <v>5</v>
      </c>
      <c r="E377" s="11" t="n">
        <v>1</v>
      </c>
      <c r="F377" s="11" t="s">
        <v>57</v>
      </c>
      <c r="G377" s="11" t="n">
        <v>10</v>
      </c>
      <c r="H377" s="11" t="n">
        <v>10</v>
      </c>
      <c r="I377" s="16"/>
      <c r="J377" s="16"/>
      <c r="K377" s="17" t="str">
        <f aca="false">IF(AND(I377&lt;&gt;"",J377&lt;&gt;"",J377&lt;&gt;0),I377/J377,"")</f>
        <v/>
      </c>
      <c r="L377" s="16"/>
      <c r="M377" s="16"/>
      <c r="N377" s="16"/>
      <c r="O377" s="16" t="n">
        <v>1.5</v>
      </c>
      <c r="P377" s="17" t="str">
        <f aca="false">IF(AND(N377&lt;&gt;"",O377&lt;&gt;"",I377&lt;&gt;"",I377&lt;&gt;0),N377/(O377*9.81*I377),"")</f>
        <v/>
      </c>
      <c r="Q377" s="16"/>
      <c r="R377" s="18"/>
    </row>
    <row r="378" customFormat="false" ht="15" hidden="false" customHeight="false" outlineLevel="0" collapsed="false">
      <c r="A378" s="13" t="n">
        <v>374</v>
      </c>
      <c r="B378" s="13" t="n">
        <v>329</v>
      </c>
      <c r="C378" s="13" t="n">
        <v>66</v>
      </c>
      <c r="D378" s="13" t="n">
        <v>4</v>
      </c>
      <c r="E378" s="13" t="n">
        <v>1.5</v>
      </c>
      <c r="F378" s="13" t="s">
        <v>59</v>
      </c>
      <c r="G378" s="13" t="n">
        <v>2</v>
      </c>
      <c r="H378" s="13" t="n">
        <v>20</v>
      </c>
      <c r="I378" s="19"/>
      <c r="J378" s="19"/>
      <c r="K378" s="17" t="str">
        <f aca="false">IF(AND(I378&lt;&gt;"",J378&lt;&gt;"",J378&lt;&gt;0),I378/J378,"")</f>
        <v/>
      </c>
      <c r="L378" s="19"/>
      <c r="M378" s="19"/>
      <c r="N378" s="19"/>
      <c r="O378" s="19" t="n">
        <v>1.5</v>
      </c>
      <c r="P378" s="17" t="str">
        <f aca="false">IF(AND(N378&lt;&gt;"",O378&lt;&gt;"",I378&lt;&gt;"",I378&lt;&gt;0),N378/(O378*9.81*I378),"")</f>
        <v/>
      </c>
      <c r="Q378" s="19"/>
      <c r="R378" s="20"/>
    </row>
    <row r="379" customFormat="false" ht="15" hidden="false" customHeight="false" outlineLevel="0" collapsed="false">
      <c r="A379" s="11" t="n">
        <v>375</v>
      </c>
      <c r="B379" s="11" t="n">
        <v>521</v>
      </c>
      <c r="C379" s="11" t="n">
        <v>105</v>
      </c>
      <c r="D379" s="11" t="n">
        <v>1</v>
      </c>
      <c r="E379" s="11" t="n">
        <v>2</v>
      </c>
      <c r="F379" s="11" t="s">
        <v>61</v>
      </c>
      <c r="G379" s="11" t="n">
        <v>5</v>
      </c>
      <c r="H379" s="11" t="n">
        <v>20</v>
      </c>
      <c r="I379" s="16"/>
      <c r="J379" s="16"/>
      <c r="K379" s="17" t="str">
        <f aca="false">IF(AND(I379&lt;&gt;"",J379&lt;&gt;"",J379&lt;&gt;0),I379/J379,"")</f>
        <v/>
      </c>
      <c r="L379" s="16"/>
      <c r="M379" s="16"/>
      <c r="N379" s="16"/>
      <c r="O379" s="16" t="n">
        <v>1.5</v>
      </c>
      <c r="P379" s="17" t="str">
        <f aca="false">IF(AND(N379&lt;&gt;"",O379&lt;&gt;"",I379&lt;&gt;"",I379&lt;&gt;0),N379/(O379*9.81*I379),"")</f>
        <v/>
      </c>
      <c r="Q379" s="16"/>
      <c r="R379" s="18"/>
    </row>
    <row r="380" customFormat="false" ht="15" hidden="false" customHeight="false" outlineLevel="0" collapsed="false">
      <c r="A380" s="13" t="n">
        <v>376</v>
      </c>
      <c r="B380" s="13" t="n">
        <v>498</v>
      </c>
      <c r="C380" s="13" t="n">
        <v>100</v>
      </c>
      <c r="D380" s="13" t="n">
        <v>3</v>
      </c>
      <c r="E380" s="13" t="n">
        <v>2</v>
      </c>
      <c r="F380" s="13" t="s">
        <v>61</v>
      </c>
      <c r="G380" s="13" t="n">
        <v>2</v>
      </c>
      <c r="H380" s="13" t="n">
        <v>0</v>
      </c>
      <c r="I380" s="19"/>
      <c r="J380" s="19"/>
      <c r="K380" s="17" t="str">
        <f aca="false">IF(AND(I380&lt;&gt;"",J380&lt;&gt;"",J380&lt;&gt;0),I380/J380,"")</f>
        <v/>
      </c>
      <c r="L380" s="19"/>
      <c r="M380" s="19"/>
      <c r="N380" s="19"/>
      <c r="O380" s="19" t="n">
        <v>1.5</v>
      </c>
      <c r="P380" s="17" t="str">
        <f aca="false">IF(AND(N380&lt;&gt;"",O380&lt;&gt;"",I380&lt;&gt;"",I380&lt;&gt;0),N380/(O380*9.81*I380),"")</f>
        <v/>
      </c>
      <c r="Q380" s="19"/>
      <c r="R380" s="20"/>
    </row>
    <row r="381" customFormat="false" ht="15" hidden="false" customHeight="false" outlineLevel="0" collapsed="false">
      <c r="A381" s="11" t="n">
        <v>377</v>
      </c>
      <c r="B381" s="11" t="n">
        <v>458</v>
      </c>
      <c r="C381" s="11" t="n">
        <v>92</v>
      </c>
      <c r="D381" s="11" t="n">
        <v>3</v>
      </c>
      <c r="E381" s="11" t="n">
        <v>2</v>
      </c>
      <c r="F381" s="11" t="s">
        <v>59</v>
      </c>
      <c r="G381" s="11" t="n">
        <v>2</v>
      </c>
      <c r="H381" s="11" t="n">
        <v>10</v>
      </c>
      <c r="I381" s="16"/>
      <c r="J381" s="16"/>
      <c r="K381" s="17" t="str">
        <f aca="false">IF(AND(I381&lt;&gt;"",J381&lt;&gt;"",J381&lt;&gt;0),I381/J381,"")</f>
        <v/>
      </c>
      <c r="L381" s="16"/>
      <c r="M381" s="16"/>
      <c r="N381" s="16"/>
      <c r="O381" s="16" t="n">
        <v>1.5</v>
      </c>
      <c r="P381" s="17" t="str">
        <f aca="false">IF(AND(N381&lt;&gt;"",O381&lt;&gt;"",I381&lt;&gt;"",I381&lt;&gt;0),N381/(O381*9.81*I381),"")</f>
        <v/>
      </c>
      <c r="Q381" s="16"/>
      <c r="R381" s="18"/>
    </row>
    <row r="382" customFormat="false" ht="15" hidden="false" customHeight="false" outlineLevel="0" collapsed="false">
      <c r="A382" s="13" t="n">
        <v>378</v>
      </c>
      <c r="B382" s="13" t="n">
        <v>59</v>
      </c>
      <c r="C382" s="13" t="n">
        <v>12</v>
      </c>
      <c r="D382" s="13" t="n">
        <v>4</v>
      </c>
      <c r="E382" s="13" t="n">
        <v>0.5</v>
      </c>
      <c r="F382" s="13" t="s">
        <v>59</v>
      </c>
      <c r="G382" s="13" t="n">
        <v>2</v>
      </c>
      <c r="H382" s="13" t="n">
        <v>20</v>
      </c>
      <c r="I382" s="19"/>
      <c r="J382" s="19"/>
      <c r="K382" s="17" t="str">
        <f aca="false">IF(AND(I382&lt;&gt;"",J382&lt;&gt;"",J382&lt;&gt;0),I382/J382,"")</f>
        <v/>
      </c>
      <c r="L382" s="19"/>
      <c r="M382" s="19"/>
      <c r="N382" s="19"/>
      <c r="O382" s="19" t="n">
        <v>1.5</v>
      </c>
      <c r="P382" s="17" t="str">
        <f aca="false">IF(AND(N382&lt;&gt;"",O382&lt;&gt;"",I382&lt;&gt;"",I382&lt;&gt;0),N382/(O382*9.81*I382),"")</f>
        <v/>
      </c>
      <c r="Q382" s="19"/>
      <c r="R382" s="20"/>
    </row>
    <row r="383" customFormat="false" ht="15" hidden="false" customHeight="false" outlineLevel="0" collapsed="false">
      <c r="A383" s="11" t="n">
        <v>379</v>
      </c>
      <c r="B383" s="11" t="n">
        <v>370</v>
      </c>
      <c r="C383" s="11" t="n">
        <v>74</v>
      </c>
      <c r="D383" s="11" t="n">
        <v>5</v>
      </c>
      <c r="E383" s="11" t="n">
        <v>1.5</v>
      </c>
      <c r="F383" s="11" t="s">
        <v>61</v>
      </c>
      <c r="G383" s="11" t="n">
        <v>2</v>
      </c>
      <c r="H383" s="11" t="n">
        <v>10</v>
      </c>
      <c r="I383" s="16"/>
      <c r="J383" s="16"/>
      <c r="K383" s="17" t="str">
        <f aca="false">IF(AND(I383&lt;&gt;"",J383&lt;&gt;"",J383&lt;&gt;0),I383/J383,"")</f>
        <v/>
      </c>
      <c r="L383" s="16"/>
      <c r="M383" s="16"/>
      <c r="N383" s="16"/>
      <c r="O383" s="16" t="n">
        <v>1.5</v>
      </c>
      <c r="P383" s="17" t="str">
        <f aca="false">IF(AND(N383&lt;&gt;"",O383&lt;&gt;"",I383&lt;&gt;"",I383&lt;&gt;0),N383/(O383*9.81*I383),"")</f>
        <v/>
      </c>
      <c r="Q383" s="16"/>
      <c r="R383" s="18"/>
    </row>
    <row r="384" customFormat="false" ht="15" hidden="false" customHeight="false" outlineLevel="0" collapsed="false">
      <c r="A384" s="13" t="n">
        <v>380</v>
      </c>
      <c r="B384" s="13" t="n">
        <v>392</v>
      </c>
      <c r="C384" s="13" t="n">
        <v>79</v>
      </c>
      <c r="D384" s="13" t="n">
        <v>2</v>
      </c>
      <c r="E384" s="13" t="n">
        <v>1.5</v>
      </c>
      <c r="F384" s="13" t="s">
        <v>61</v>
      </c>
      <c r="G384" s="13" t="n">
        <v>10</v>
      </c>
      <c r="H384" s="13" t="n">
        <v>0</v>
      </c>
      <c r="I384" s="19"/>
      <c r="J384" s="19"/>
      <c r="K384" s="17" t="str">
        <f aca="false">IF(AND(I384&lt;&gt;"",J384&lt;&gt;"",J384&lt;&gt;0),I384/J384,"")</f>
        <v/>
      </c>
      <c r="L384" s="19"/>
      <c r="M384" s="19"/>
      <c r="N384" s="19"/>
      <c r="O384" s="19" t="n">
        <v>1.5</v>
      </c>
      <c r="P384" s="17" t="str">
        <f aca="false">IF(AND(N384&lt;&gt;"",O384&lt;&gt;"",I384&lt;&gt;"",I384&lt;&gt;0),N384/(O384*9.81*I384),"")</f>
        <v/>
      </c>
      <c r="Q384" s="19"/>
      <c r="R384" s="20"/>
    </row>
    <row r="385" customFormat="false" ht="15" hidden="false" customHeight="false" outlineLevel="0" collapsed="false">
      <c r="A385" s="11" t="n">
        <v>381</v>
      </c>
      <c r="B385" s="11" t="n">
        <v>6</v>
      </c>
      <c r="C385" s="11" t="n">
        <v>2</v>
      </c>
      <c r="D385" s="11" t="n">
        <v>1</v>
      </c>
      <c r="E385" s="11" t="n">
        <v>0.5</v>
      </c>
      <c r="F385" s="11" t="s">
        <v>57</v>
      </c>
      <c r="G385" s="11" t="n">
        <v>2</v>
      </c>
      <c r="H385" s="11" t="n">
        <v>10</v>
      </c>
      <c r="I385" s="16"/>
      <c r="J385" s="16"/>
      <c r="K385" s="17" t="str">
        <f aca="false">IF(AND(I385&lt;&gt;"",J385&lt;&gt;"",J385&lt;&gt;0),I385/J385,"")</f>
        <v/>
      </c>
      <c r="L385" s="16"/>
      <c r="M385" s="16"/>
      <c r="N385" s="16"/>
      <c r="O385" s="16" t="n">
        <v>1.5</v>
      </c>
      <c r="P385" s="17" t="str">
        <f aca="false">IF(AND(N385&lt;&gt;"",O385&lt;&gt;"",I385&lt;&gt;"",I385&lt;&gt;0),N385/(O385*9.81*I385),"")</f>
        <v/>
      </c>
      <c r="Q385" s="16"/>
      <c r="R385" s="18"/>
    </row>
    <row r="386" customFormat="false" ht="15" hidden="false" customHeight="false" outlineLevel="0" collapsed="false">
      <c r="A386" s="13" t="n">
        <v>382</v>
      </c>
      <c r="B386" s="13" t="n">
        <v>284</v>
      </c>
      <c r="C386" s="13" t="n">
        <v>57</v>
      </c>
      <c r="D386" s="13" t="n">
        <v>4</v>
      </c>
      <c r="E386" s="13" t="n">
        <v>1.5</v>
      </c>
      <c r="F386" s="13" t="s">
        <v>57</v>
      </c>
      <c r="G386" s="13" t="n">
        <v>2</v>
      </c>
      <c r="H386" s="13" t="n">
        <v>20</v>
      </c>
      <c r="I386" s="19"/>
      <c r="J386" s="19"/>
      <c r="K386" s="17" t="str">
        <f aca="false">IF(AND(I386&lt;&gt;"",J386&lt;&gt;"",J386&lt;&gt;0),I386/J386,"")</f>
        <v/>
      </c>
      <c r="L386" s="19"/>
      <c r="M386" s="19"/>
      <c r="N386" s="19"/>
      <c r="O386" s="19" t="n">
        <v>1.5</v>
      </c>
      <c r="P386" s="17" t="str">
        <f aca="false">IF(AND(N386&lt;&gt;"",O386&lt;&gt;"",I386&lt;&gt;"",I386&lt;&gt;0),N386/(O386*9.81*I386),"")</f>
        <v/>
      </c>
      <c r="Q386" s="19"/>
      <c r="R386" s="20"/>
    </row>
    <row r="387" customFormat="false" ht="15" hidden="false" customHeight="false" outlineLevel="0" collapsed="false">
      <c r="A387" s="11" t="n">
        <v>383</v>
      </c>
      <c r="B387" s="11" t="n">
        <v>129</v>
      </c>
      <c r="C387" s="11" t="n">
        <v>26</v>
      </c>
      <c r="D387" s="11" t="n">
        <v>4</v>
      </c>
      <c r="E387" s="11" t="n">
        <v>0.5</v>
      </c>
      <c r="F387" s="11" t="s">
        <v>61</v>
      </c>
      <c r="G387" s="11" t="n">
        <v>10</v>
      </c>
      <c r="H387" s="11" t="n">
        <v>10</v>
      </c>
      <c r="I387" s="16"/>
      <c r="J387" s="16"/>
      <c r="K387" s="17" t="str">
        <f aca="false">IF(AND(I387&lt;&gt;"",J387&lt;&gt;"",J387&lt;&gt;0),I387/J387,"")</f>
        <v/>
      </c>
      <c r="L387" s="16"/>
      <c r="M387" s="16"/>
      <c r="N387" s="16"/>
      <c r="O387" s="16" t="n">
        <v>1.5</v>
      </c>
      <c r="P387" s="17" t="str">
        <f aca="false">IF(AND(N387&lt;&gt;"",O387&lt;&gt;"",I387&lt;&gt;"",I387&lt;&gt;0),N387/(O387*9.81*I387),"")</f>
        <v/>
      </c>
      <c r="Q387" s="16"/>
      <c r="R387" s="18"/>
    </row>
    <row r="388" customFormat="false" ht="15" hidden="false" customHeight="false" outlineLevel="0" collapsed="false">
      <c r="A388" s="13" t="n">
        <v>384</v>
      </c>
      <c r="B388" s="13" t="n">
        <v>271</v>
      </c>
      <c r="C388" s="13" t="n">
        <v>55</v>
      </c>
      <c r="D388" s="13" t="n">
        <v>1</v>
      </c>
      <c r="E388" s="13" t="n">
        <v>1.5</v>
      </c>
      <c r="F388" s="13" t="s">
        <v>57</v>
      </c>
      <c r="G388" s="13" t="n">
        <v>2</v>
      </c>
      <c r="H388" s="13" t="n">
        <v>0</v>
      </c>
      <c r="I388" s="19"/>
      <c r="J388" s="19"/>
      <c r="K388" s="17" t="str">
        <f aca="false">IF(AND(I388&lt;&gt;"",J388&lt;&gt;"",J388&lt;&gt;0),I388/J388,"")</f>
        <v/>
      </c>
      <c r="L388" s="19"/>
      <c r="M388" s="19"/>
      <c r="N388" s="19"/>
      <c r="O388" s="19" t="n">
        <v>1.5</v>
      </c>
      <c r="P388" s="17" t="str">
        <f aca="false">IF(AND(N388&lt;&gt;"",O388&lt;&gt;"",I388&lt;&gt;"",I388&lt;&gt;0),N388/(O388*9.81*I388),"")</f>
        <v/>
      </c>
      <c r="Q388" s="19"/>
      <c r="R388" s="20"/>
    </row>
    <row r="389" customFormat="false" ht="15" hidden="false" customHeight="false" outlineLevel="0" collapsed="false">
      <c r="A389" s="11" t="n">
        <v>385</v>
      </c>
      <c r="B389" s="11" t="n">
        <v>240</v>
      </c>
      <c r="C389" s="11" t="n">
        <v>48</v>
      </c>
      <c r="D389" s="11" t="n">
        <v>5</v>
      </c>
      <c r="E389" s="11" t="n">
        <v>1</v>
      </c>
      <c r="F389" s="11" t="s">
        <v>61</v>
      </c>
      <c r="G389" s="11" t="n">
        <v>2</v>
      </c>
      <c r="H389" s="11" t="n">
        <v>20</v>
      </c>
      <c r="I389" s="16"/>
      <c r="J389" s="16"/>
      <c r="K389" s="17" t="str">
        <f aca="false">IF(AND(I389&lt;&gt;"",J389&lt;&gt;"",J389&lt;&gt;0),I389/J389,"")</f>
        <v/>
      </c>
      <c r="L389" s="16"/>
      <c r="M389" s="16"/>
      <c r="N389" s="16"/>
      <c r="O389" s="16" t="n">
        <v>1.5</v>
      </c>
      <c r="P389" s="17" t="str">
        <f aca="false">IF(AND(N389&lt;&gt;"",O389&lt;&gt;"",I389&lt;&gt;"",I389&lt;&gt;0),N389/(O389*9.81*I389),"")</f>
        <v/>
      </c>
      <c r="Q389" s="16"/>
      <c r="R389" s="18"/>
    </row>
    <row r="390" customFormat="false" ht="15" hidden="false" customHeight="false" outlineLevel="0" collapsed="false">
      <c r="A390" s="13" t="n">
        <v>386</v>
      </c>
      <c r="B390" s="13" t="n">
        <v>390</v>
      </c>
      <c r="C390" s="13" t="n">
        <v>78</v>
      </c>
      <c r="D390" s="13" t="n">
        <v>5</v>
      </c>
      <c r="E390" s="13" t="n">
        <v>1.5</v>
      </c>
      <c r="F390" s="13" t="s">
        <v>61</v>
      </c>
      <c r="G390" s="13" t="n">
        <v>5</v>
      </c>
      <c r="H390" s="13" t="n">
        <v>20</v>
      </c>
      <c r="I390" s="19"/>
      <c r="J390" s="19"/>
      <c r="K390" s="17" t="str">
        <f aca="false">IF(AND(I390&lt;&gt;"",J390&lt;&gt;"",J390&lt;&gt;0),I390/J390,"")</f>
        <v/>
      </c>
      <c r="L390" s="19"/>
      <c r="M390" s="19"/>
      <c r="N390" s="19"/>
      <c r="O390" s="19" t="n">
        <v>1.5</v>
      </c>
      <c r="P390" s="17" t="str">
        <f aca="false">IF(AND(N390&lt;&gt;"",O390&lt;&gt;"",I390&lt;&gt;"",I390&lt;&gt;0),N390/(O390*9.81*I390),"")</f>
        <v/>
      </c>
      <c r="Q390" s="19"/>
      <c r="R390" s="20"/>
    </row>
    <row r="391" customFormat="false" ht="15" hidden="false" customHeight="false" outlineLevel="0" collapsed="false">
      <c r="A391" s="11" t="n">
        <v>387</v>
      </c>
      <c r="B391" s="11" t="n">
        <v>196</v>
      </c>
      <c r="C391" s="11" t="n">
        <v>40</v>
      </c>
      <c r="D391" s="11" t="n">
        <v>1</v>
      </c>
      <c r="E391" s="11" t="n">
        <v>1</v>
      </c>
      <c r="F391" s="11" t="s">
        <v>59</v>
      </c>
      <c r="G391" s="11" t="n">
        <v>5</v>
      </c>
      <c r="H391" s="11" t="n">
        <v>0</v>
      </c>
      <c r="I391" s="16"/>
      <c r="J391" s="16"/>
      <c r="K391" s="17" t="str">
        <f aca="false">IF(AND(I391&lt;&gt;"",J391&lt;&gt;"",J391&lt;&gt;0),I391/J391,"")</f>
        <v/>
      </c>
      <c r="L391" s="16"/>
      <c r="M391" s="16"/>
      <c r="N391" s="16"/>
      <c r="O391" s="16" t="n">
        <v>1.5</v>
      </c>
      <c r="P391" s="17" t="str">
        <f aca="false">IF(AND(N391&lt;&gt;"",O391&lt;&gt;"",I391&lt;&gt;"",I391&lt;&gt;0),N391/(O391*9.81*I391),"")</f>
        <v/>
      </c>
      <c r="Q391" s="16"/>
      <c r="R391" s="18"/>
    </row>
    <row r="392" customFormat="false" ht="15" hidden="false" customHeight="false" outlineLevel="0" collapsed="false">
      <c r="A392" s="13" t="n">
        <v>388</v>
      </c>
      <c r="B392" s="13" t="n">
        <v>198</v>
      </c>
      <c r="C392" s="13" t="n">
        <v>40</v>
      </c>
      <c r="D392" s="13" t="n">
        <v>3</v>
      </c>
      <c r="E392" s="13" t="n">
        <v>1</v>
      </c>
      <c r="F392" s="13" t="s">
        <v>59</v>
      </c>
      <c r="G392" s="13" t="n">
        <v>5</v>
      </c>
      <c r="H392" s="13" t="n">
        <v>0</v>
      </c>
      <c r="I392" s="19"/>
      <c r="J392" s="19"/>
      <c r="K392" s="17" t="str">
        <f aca="false">IF(AND(I392&lt;&gt;"",J392&lt;&gt;"",J392&lt;&gt;0),I392/J392,"")</f>
        <v/>
      </c>
      <c r="L392" s="19"/>
      <c r="M392" s="19"/>
      <c r="N392" s="19"/>
      <c r="O392" s="19" t="n">
        <v>1.5</v>
      </c>
      <c r="P392" s="17" t="str">
        <f aca="false">IF(AND(N392&lt;&gt;"",O392&lt;&gt;"",I392&lt;&gt;"",I392&lt;&gt;0),N392/(O392*9.81*I392),"")</f>
        <v/>
      </c>
      <c r="Q392" s="19"/>
      <c r="R392" s="20"/>
    </row>
    <row r="393" customFormat="false" ht="15" hidden="false" customHeight="false" outlineLevel="0" collapsed="false">
      <c r="A393" s="11" t="n">
        <v>389</v>
      </c>
      <c r="B393" s="11" t="n">
        <v>531</v>
      </c>
      <c r="C393" s="11" t="n">
        <v>107</v>
      </c>
      <c r="D393" s="11" t="n">
        <v>1</v>
      </c>
      <c r="E393" s="11" t="n">
        <v>2</v>
      </c>
      <c r="F393" s="11" t="s">
        <v>61</v>
      </c>
      <c r="G393" s="11" t="n">
        <v>10</v>
      </c>
      <c r="H393" s="11" t="n">
        <v>10</v>
      </c>
      <c r="I393" s="16"/>
      <c r="J393" s="16"/>
      <c r="K393" s="17" t="str">
        <f aca="false">IF(AND(I393&lt;&gt;"",J393&lt;&gt;"",J393&lt;&gt;0),I393/J393,"")</f>
        <v/>
      </c>
      <c r="L393" s="16"/>
      <c r="M393" s="16"/>
      <c r="N393" s="16"/>
      <c r="O393" s="16" t="n">
        <v>1.5</v>
      </c>
      <c r="P393" s="17" t="str">
        <f aca="false">IF(AND(N393&lt;&gt;"",O393&lt;&gt;"",I393&lt;&gt;"",I393&lt;&gt;0),N393/(O393*9.81*I393),"")</f>
        <v/>
      </c>
      <c r="Q393" s="16"/>
      <c r="R393" s="18"/>
    </row>
    <row r="394" customFormat="false" ht="15" hidden="false" customHeight="false" outlineLevel="0" collapsed="false">
      <c r="A394" s="13" t="n">
        <v>390</v>
      </c>
      <c r="B394" s="13" t="n">
        <v>306</v>
      </c>
      <c r="C394" s="13" t="n">
        <v>62</v>
      </c>
      <c r="D394" s="13" t="n">
        <v>1</v>
      </c>
      <c r="E394" s="13" t="n">
        <v>1.5</v>
      </c>
      <c r="F394" s="13" t="s">
        <v>57</v>
      </c>
      <c r="G394" s="13" t="n">
        <v>10</v>
      </c>
      <c r="H394" s="13" t="n">
        <v>10</v>
      </c>
      <c r="I394" s="19"/>
      <c r="J394" s="19"/>
      <c r="K394" s="17" t="str">
        <f aca="false">IF(AND(I394&lt;&gt;"",J394&lt;&gt;"",J394&lt;&gt;0),I394/J394,"")</f>
        <v/>
      </c>
      <c r="L394" s="19"/>
      <c r="M394" s="19"/>
      <c r="N394" s="19"/>
      <c r="O394" s="19" t="n">
        <v>1.5</v>
      </c>
      <c r="P394" s="17" t="str">
        <f aca="false">IF(AND(N394&lt;&gt;"",O394&lt;&gt;"",I394&lt;&gt;"",I394&lt;&gt;0),N394/(O394*9.81*I394),"")</f>
        <v/>
      </c>
      <c r="Q394" s="19"/>
      <c r="R394" s="20"/>
    </row>
    <row r="395" customFormat="false" ht="15" hidden="false" customHeight="false" outlineLevel="0" collapsed="false">
      <c r="A395" s="11" t="n">
        <v>391</v>
      </c>
      <c r="B395" s="11" t="n">
        <v>217</v>
      </c>
      <c r="C395" s="11" t="n">
        <v>44</v>
      </c>
      <c r="D395" s="11" t="n">
        <v>2</v>
      </c>
      <c r="E395" s="11" t="n">
        <v>1</v>
      </c>
      <c r="F395" s="11" t="s">
        <v>59</v>
      </c>
      <c r="G395" s="11" t="n">
        <v>10</v>
      </c>
      <c r="H395" s="11" t="n">
        <v>10</v>
      </c>
      <c r="I395" s="16"/>
      <c r="J395" s="16"/>
      <c r="K395" s="17" t="str">
        <f aca="false">IF(AND(I395&lt;&gt;"",J395&lt;&gt;"",J395&lt;&gt;0),I395/J395,"")</f>
        <v/>
      </c>
      <c r="L395" s="16"/>
      <c r="M395" s="16"/>
      <c r="N395" s="16"/>
      <c r="O395" s="16" t="n">
        <v>1.5</v>
      </c>
      <c r="P395" s="17" t="str">
        <f aca="false">IF(AND(N395&lt;&gt;"",O395&lt;&gt;"",I395&lt;&gt;"",I395&lt;&gt;0),N395/(O395*9.81*I395),"")</f>
        <v/>
      </c>
      <c r="Q395" s="16"/>
      <c r="R395" s="18"/>
    </row>
    <row r="396" customFormat="false" ht="15" hidden="false" customHeight="false" outlineLevel="0" collapsed="false">
      <c r="A396" s="13" t="n">
        <v>392</v>
      </c>
      <c r="B396" s="13" t="n">
        <v>516</v>
      </c>
      <c r="C396" s="13" t="n">
        <v>104</v>
      </c>
      <c r="D396" s="13" t="n">
        <v>1</v>
      </c>
      <c r="E396" s="13" t="n">
        <v>2</v>
      </c>
      <c r="F396" s="13" t="s">
        <v>61</v>
      </c>
      <c r="G396" s="13" t="n">
        <v>5</v>
      </c>
      <c r="H396" s="13" t="n">
        <v>10</v>
      </c>
      <c r="I396" s="19"/>
      <c r="J396" s="19"/>
      <c r="K396" s="17" t="str">
        <f aca="false">IF(AND(I396&lt;&gt;"",J396&lt;&gt;"",J396&lt;&gt;0),I396/J396,"")</f>
        <v/>
      </c>
      <c r="L396" s="19"/>
      <c r="M396" s="19"/>
      <c r="N396" s="19"/>
      <c r="O396" s="19" t="n">
        <v>1.5</v>
      </c>
      <c r="P396" s="17" t="str">
        <f aca="false">IF(AND(N396&lt;&gt;"",O396&lt;&gt;"",I396&lt;&gt;"",I396&lt;&gt;0),N396/(O396*9.81*I396),"")</f>
        <v/>
      </c>
      <c r="Q396" s="19"/>
      <c r="R396" s="20"/>
    </row>
    <row r="397" customFormat="false" ht="15" hidden="false" customHeight="false" outlineLevel="0" collapsed="false">
      <c r="A397" s="11" t="n">
        <v>393</v>
      </c>
      <c r="B397" s="11" t="n">
        <v>82</v>
      </c>
      <c r="C397" s="11" t="n">
        <v>17</v>
      </c>
      <c r="D397" s="11" t="n">
        <v>2</v>
      </c>
      <c r="E397" s="11" t="n">
        <v>0.5</v>
      </c>
      <c r="F397" s="11" t="s">
        <v>59</v>
      </c>
      <c r="G397" s="11" t="n">
        <v>10</v>
      </c>
      <c r="H397" s="11" t="n">
        <v>10</v>
      </c>
      <c r="I397" s="16"/>
      <c r="J397" s="16"/>
      <c r="K397" s="17" t="str">
        <f aca="false">IF(AND(I397&lt;&gt;"",J397&lt;&gt;"",J397&lt;&gt;0),I397/J397,"")</f>
        <v/>
      </c>
      <c r="L397" s="16"/>
      <c r="M397" s="16"/>
      <c r="N397" s="16"/>
      <c r="O397" s="16" t="n">
        <v>1.5</v>
      </c>
      <c r="P397" s="17" t="str">
        <f aca="false">IF(AND(N397&lt;&gt;"",O397&lt;&gt;"",I397&lt;&gt;"",I397&lt;&gt;0),N397/(O397*9.81*I397),"")</f>
        <v/>
      </c>
      <c r="Q397" s="16"/>
      <c r="R397" s="18"/>
    </row>
    <row r="398" customFormat="false" ht="15" hidden="false" customHeight="false" outlineLevel="0" collapsed="false">
      <c r="A398" s="13" t="n">
        <v>394</v>
      </c>
      <c r="B398" s="13" t="n">
        <v>490</v>
      </c>
      <c r="C398" s="13" t="n">
        <v>98</v>
      </c>
      <c r="D398" s="13" t="n">
        <v>5</v>
      </c>
      <c r="E398" s="13" t="n">
        <v>2</v>
      </c>
      <c r="F398" s="13" t="s">
        <v>59</v>
      </c>
      <c r="G398" s="13" t="n">
        <v>10</v>
      </c>
      <c r="H398" s="13" t="n">
        <v>10</v>
      </c>
      <c r="I398" s="19"/>
      <c r="J398" s="19"/>
      <c r="K398" s="17" t="str">
        <f aca="false">IF(AND(I398&lt;&gt;"",J398&lt;&gt;"",J398&lt;&gt;0),I398/J398,"")</f>
        <v/>
      </c>
      <c r="L398" s="19"/>
      <c r="M398" s="19"/>
      <c r="N398" s="19"/>
      <c r="O398" s="19" t="n">
        <v>1.5</v>
      </c>
      <c r="P398" s="17" t="str">
        <f aca="false">IF(AND(N398&lt;&gt;"",O398&lt;&gt;"",I398&lt;&gt;"",I398&lt;&gt;0),N398/(O398*9.81*I398),"")</f>
        <v/>
      </c>
      <c r="Q398" s="19"/>
      <c r="R398" s="20"/>
    </row>
    <row r="399" customFormat="false" ht="15" hidden="false" customHeight="false" outlineLevel="0" collapsed="false">
      <c r="A399" s="11" t="n">
        <v>395</v>
      </c>
      <c r="B399" s="11" t="n">
        <v>79</v>
      </c>
      <c r="C399" s="11" t="n">
        <v>16</v>
      </c>
      <c r="D399" s="11" t="n">
        <v>4</v>
      </c>
      <c r="E399" s="11" t="n">
        <v>0.5</v>
      </c>
      <c r="F399" s="11" t="s">
        <v>59</v>
      </c>
      <c r="G399" s="11" t="n">
        <v>10</v>
      </c>
      <c r="H399" s="11" t="n">
        <v>0</v>
      </c>
      <c r="I399" s="16"/>
      <c r="J399" s="16"/>
      <c r="K399" s="17" t="str">
        <f aca="false">IF(AND(I399&lt;&gt;"",J399&lt;&gt;"",J399&lt;&gt;0),I399/J399,"")</f>
        <v/>
      </c>
      <c r="L399" s="16"/>
      <c r="M399" s="16"/>
      <c r="N399" s="16"/>
      <c r="O399" s="16" t="n">
        <v>1.5</v>
      </c>
      <c r="P399" s="17" t="str">
        <f aca="false">IF(AND(N399&lt;&gt;"",O399&lt;&gt;"",I399&lt;&gt;"",I399&lt;&gt;0),N399/(O399*9.81*I399),"")</f>
        <v/>
      </c>
      <c r="Q399" s="16"/>
      <c r="R399" s="18"/>
    </row>
    <row r="400" customFormat="false" ht="15" hidden="false" customHeight="false" outlineLevel="0" collapsed="false">
      <c r="A400" s="13" t="n">
        <v>396</v>
      </c>
      <c r="B400" s="13" t="n">
        <v>57</v>
      </c>
      <c r="C400" s="13" t="n">
        <v>12</v>
      </c>
      <c r="D400" s="13" t="n">
        <v>2</v>
      </c>
      <c r="E400" s="13" t="n">
        <v>0.5</v>
      </c>
      <c r="F400" s="13" t="s">
        <v>59</v>
      </c>
      <c r="G400" s="13" t="n">
        <v>2</v>
      </c>
      <c r="H400" s="13" t="n">
        <v>20</v>
      </c>
      <c r="I400" s="19"/>
      <c r="J400" s="19"/>
      <c r="K400" s="17" t="str">
        <f aca="false">IF(AND(I400&lt;&gt;"",J400&lt;&gt;"",J400&lt;&gt;0),I400/J400,"")</f>
        <v/>
      </c>
      <c r="L400" s="19"/>
      <c r="M400" s="19"/>
      <c r="N400" s="19"/>
      <c r="O400" s="19" t="n">
        <v>1.5</v>
      </c>
      <c r="P400" s="17" t="str">
        <f aca="false">IF(AND(N400&lt;&gt;"",O400&lt;&gt;"",I400&lt;&gt;"",I400&lt;&gt;0),N400/(O400*9.81*I400),"")</f>
        <v/>
      </c>
      <c r="Q400" s="19"/>
      <c r="R400" s="20"/>
    </row>
    <row r="401" customFormat="false" ht="15" hidden="false" customHeight="false" outlineLevel="0" collapsed="false">
      <c r="A401" s="11" t="n">
        <v>397</v>
      </c>
      <c r="B401" s="11" t="n">
        <v>25</v>
      </c>
      <c r="C401" s="11" t="n">
        <v>5</v>
      </c>
      <c r="D401" s="11" t="n">
        <v>5</v>
      </c>
      <c r="E401" s="11" t="n">
        <v>0.5</v>
      </c>
      <c r="F401" s="11" t="s">
        <v>57</v>
      </c>
      <c r="G401" s="11" t="n">
        <v>5</v>
      </c>
      <c r="H401" s="11" t="n">
        <v>10</v>
      </c>
      <c r="I401" s="16"/>
      <c r="J401" s="16"/>
      <c r="K401" s="17" t="str">
        <f aca="false">IF(AND(I401&lt;&gt;"",J401&lt;&gt;"",J401&lt;&gt;0),I401/J401,"")</f>
        <v/>
      </c>
      <c r="L401" s="16"/>
      <c r="M401" s="16"/>
      <c r="N401" s="16"/>
      <c r="O401" s="16" t="n">
        <v>1.5</v>
      </c>
      <c r="P401" s="17" t="str">
        <f aca="false">IF(AND(N401&lt;&gt;"",O401&lt;&gt;"",I401&lt;&gt;"",I401&lt;&gt;0),N401/(O401*9.81*I401),"")</f>
        <v/>
      </c>
      <c r="Q401" s="16"/>
      <c r="R401" s="18"/>
    </row>
    <row r="402" customFormat="false" ht="15" hidden="false" customHeight="false" outlineLevel="0" collapsed="false">
      <c r="A402" s="13" t="n">
        <v>398</v>
      </c>
      <c r="B402" s="13" t="n">
        <v>387</v>
      </c>
      <c r="C402" s="13" t="n">
        <v>78</v>
      </c>
      <c r="D402" s="13" t="n">
        <v>2</v>
      </c>
      <c r="E402" s="13" t="n">
        <v>1.5</v>
      </c>
      <c r="F402" s="13" t="s">
        <v>61</v>
      </c>
      <c r="G402" s="13" t="n">
        <v>5</v>
      </c>
      <c r="H402" s="13" t="n">
        <v>20</v>
      </c>
      <c r="I402" s="19"/>
      <c r="J402" s="19"/>
      <c r="K402" s="17" t="str">
        <f aca="false">IF(AND(I402&lt;&gt;"",J402&lt;&gt;"",J402&lt;&gt;0),I402/J402,"")</f>
        <v/>
      </c>
      <c r="L402" s="19"/>
      <c r="M402" s="19"/>
      <c r="N402" s="19"/>
      <c r="O402" s="19" t="n">
        <v>1.5</v>
      </c>
      <c r="P402" s="17" t="str">
        <f aca="false">IF(AND(N402&lt;&gt;"",O402&lt;&gt;"",I402&lt;&gt;"",I402&lt;&gt;0),N402/(O402*9.81*I402),"")</f>
        <v/>
      </c>
      <c r="Q402" s="19"/>
      <c r="R402" s="20"/>
    </row>
    <row r="403" customFormat="false" ht="15" hidden="false" customHeight="false" outlineLevel="0" collapsed="false">
      <c r="A403" s="11" t="n">
        <v>399</v>
      </c>
      <c r="B403" s="11" t="n">
        <v>47</v>
      </c>
      <c r="C403" s="11" t="n">
        <v>10</v>
      </c>
      <c r="D403" s="11" t="n">
        <v>2</v>
      </c>
      <c r="E403" s="11" t="n">
        <v>0.5</v>
      </c>
      <c r="F403" s="11" t="s">
        <v>59</v>
      </c>
      <c r="G403" s="11" t="n">
        <v>2</v>
      </c>
      <c r="H403" s="11" t="n">
        <v>0</v>
      </c>
      <c r="I403" s="16"/>
      <c r="J403" s="16"/>
      <c r="K403" s="17" t="str">
        <f aca="false">IF(AND(I403&lt;&gt;"",J403&lt;&gt;"",J403&lt;&gt;0),I403/J403,"")</f>
        <v/>
      </c>
      <c r="L403" s="16"/>
      <c r="M403" s="16"/>
      <c r="N403" s="16"/>
      <c r="O403" s="16" t="n">
        <v>1.5</v>
      </c>
      <c r="P403" s="17" t="str">
        <f aca="false">IF(AND(N403&lt;&gt;"",O403&lt;&gt;"",I403&lt;&gt;"",I403&lt;&gt;0),N403/(O403*9.81*I403),"")</f>
        <v/>
      </c>
      <c r="Q403" s="16"/>
      <c r="R403" s="18"/>
    </row>
    <row r="404" customFormat="false" ht="15" hidden="false" customHeight="false" outlineLevel="0" collapsed="false">
      <c r="A404" s="13" t="n">
        <v>400</v>
      </c>
      <c r="B404" s="13" t="n">
        <v>253</v>
      </c>
      <c r="C404" s="13" t="n">
        <v>51</v>
      </c>
      <c r="D404" s="13" t="n">
        <v>3</v>
      </c>
      <c r="E404" s="13" t="n">
        <v>1</v>
      </c>
      <c r="F404" s="13" t="s">
        <v>61</v>
      </c>
      <c r="G404" s="13" t="n">
        <v>5</v>
      </c>
      <c r="H404" s="13" t="n">
        <v>20</v>
      </c>
      <c r="I404" s="19"/>
      <c r="J404" s="19"/>
      <c r="K404" s="17" t="str">
        <f aca="false">IF(AND(I404&lt;&gt;"",J404&lt;&gt;"",J404&lt;&gt;0),I404/J404,"")</f>
        <v/>
      </c>
      <c r="L404" s="19"/>
      <c r="M404" s="19"/>
      <c r="N404" s="19"/>
      <c r="O404" s="19" t="n">
        <v>1.5</v>
      </c>
      <c r="P404" s="17" t="str">
        <f aca="false">IF(AND(N404&lt;&gt;"",O404&lt;&gt;"",I404&lt;&gt;"",I404&lt;&gt;0),N404/(O404*9.81*I404),"")</f>
        <v/>
      </c>
      <c r="Q404" s="19"/>
      <c r="R404" s="20"/>
    </row>
    <row r="405" customFormat="false" ht="15" hidden="false" customHeight="false" outlineLevel="0" collapsed="false">
      <c r="A405" s="11" t="n">
        <v>401</v>
      </c>
      <c r="B405" s="11" t="n">
        <v>261</v>
      </c>
      <c r="C405" s="11" t="n">
        <v>53</v>
      </c>
      <c r="D405" s="11" t="n">
        <v>1</v>
      </c>
      <c r="E405" s="11" t="n">
        <v>1</v>
      </c>
      <c r="F405" s="11" t="s">
        <v>61</v>
      </c>
      <c r="G405" s="11" t="n">
        <v>10</v>
      </c>
      <c r="H405" s="11" t="n">
        <v>10</v>
      </c>
      <c r="I405" s="16"/>
      <c r="J405" s="16"/>
      <c r="K405" s="17" t="str">
        <f aca="false">IF(AND(I405&lt;&gt;"",J405&lt;&gt;"",J405&lt;&gt;0),I405/J405,"")</f>
        <v/>
      </c>
      <c r="L405" s="16"/>
      <c r="M405" s="16"/>
      <c r="N405" s="16"/>
      <c r="O405" s="16" t="n">
        <v>1.5</v>
      </c>
      <c r="P405" s="17" t="str">
        <f aca="false">IF(AND(N405&lt;&gt;"",O405&lt;&gt;"",I405&lt;&gt;"",I405&lt;&gt;0),N405/(O405*9.81*I405),"")</f>
        <v/>
      </c>
      <c r="Q405" s="16"/>
      <c r="R405" s="18"/>
    </row>
    <row r="406" customFormat="false" ht="15" hidden="false" customHeight="false" outlineLevel="0" collapsed="false">
      <c r="A406" s="13" t="n">
        <v>402</v>
      </c>
      <c r="B406" s="13" t="n">
        <v>71</v>
      </c>
      <c r="C406" s="13" t="n">
        <v>15</v>
      </c>
      <c r="D406" s="13" t="n">
        <v>1</v>
      </c>
      <c r="E406" s="13" t="n">
        <v>0.5</v>
      </c>
      <c r="F406" s="13" t="s">
        <v>59</v>
      </c>
      <c r="G406" s="13" t="n">
        <v>5</v>
      </c>
      <c r="H406" s="13" t="n">
        <v>20</v>
      </c>
      <c r="I406" s="19"/>
      <c r="J406" s="19"/>
      <c r="K406" s="17" t="str">
        <f aca="false">IF(AND(I406&lt;&gt;"",J406&lt;&gt;"",J406&lt;&gt;0),I406/J406,"")</f>
        <v/>
      </c>
      <c r="L406" s="19"/>
      <c r="M406" s="19"/>
      <c r="N406" s="19"/>
      <c r="O406" s="19" t="n">
        <v>1.5</v>
      </c>
      <c r="P406" s="17" t="str">
        <f aca="false">IF(AND(N406&lt;&gt;"",O406&lt;&gt;"",I406&lt;&gt;"",I406&lt;&gt;0),N406/(O406*9.81*I406),"")</f>
        <v/>
      </c>
      <c r="Q406" s="19"/>
      <c r="R406" s="20"/>
    </row>
    <row r="407" customFormat="false" ht="15" hidden="false" customHeight="false" outlineLevel="0" collapsed="false">
      <c r="A407" s="11" t="n">
        <v>403</v>
      </c>
      <c r="B407" s="11" t="n">
        <v>487</v>
      </c>
      <c r="C407" s="11" t="n">
        <v>98</v>
      </c>
      <c r="D407" s="11" t="n">
        <v>2</v>
      </c>
      <c r="E407" s="11" t="n">
        <v>2</v>
      </c>
      <c r="F407" s="11" t="s">
        <v>59</v>
      </c>
      <c r="G407" s="11" t="n">
        <v>10</v>
      </c>
      <c r="H407" s="11" t="n">
        <v>10</v>
      </c>
      <c r="I407" s="16"/>
      <c r="J407" s="16"/>
      <c r="K407" s="17" t="str">
        <f aca="false">IF(AND(I407&lt;&gt;"",J407&lt;&gt;"",J407&lt;&gt;0),I407/J407,"")</f>
        <v/>
      </c>
      <c r="L407" s="16"/>
      <c r="M407" s="16"/>
      <c r="N407" s="16"/>
      <c r="O407" s="16" t="n">
        <v>1.5</v>
      </c>
      <c r="P407" s="17" t="str">
        <f aca="false">IF(AND(N407&lt;&gt;"",O407&lt;&gt;"",I407&lt;&gt;"",I407&lt;&gt;0),N407/(O407*9.81*I407),"")</f>
        <v/>
      </c>
      <c r="Q407" s="16"/>
      <c r="R407" s="18"/>
    </row>
    <row r="408" customFormat="false" ht="15" hidden="false" customHeight="false" outlineLevel="0" collapsed="false">
      <c r="A408" s="13" t="n">
        <v>404</v>
      </c>
      <c r="B408" s="13" t="n">
        <v>486</v>
      </c>
      <c r="C408" s="13" t="n">
        <v>98</v>
      </c>
      <c r="D408" s="13" t="n">
        <v>1</v>
      </c>
      <c r="E408" s="13" t="n">
        <v>2</v>
      </c>
      <c r="F408" s="13" t="s">
        <v>59</v>
      </c>
      <c r="G408" s="13" t="n">
        <v>10</v>
      </c>
      <c r="H408" s="13" t="n">
        <v>10</v>
      </c>
      <c r="I408" s="19"/>
      <c r="J408" s="19"/>
      <c r="K408" s="17" t="str">
        <f aca="false">IF(AND(I408&lt;&gt;"",J408&lt;&gt;"",J408&lt;&gt;0),I408/J408,"")</f>
        <v/>
      </c>
      <c r="L408" s="19"/>
      <c r="M408" s="19"/>
      <c r="N408" s="19"/>
      <c r="O408" s="19" t="n">
        <v>1.5</v>
      </c>
      <c r="P408" s="17" t="str">
        <f aca="false">IF(AND(N408&lt;&gt;"",O408&lt;&gt;"",I408&lt;&gt;"",I408&lt;&gt;0),N408/(O408*9.81*I408),"")</f>
        <v/>
      </c>
      <c r="Q408" s="19"/>
      <c r="R408" s="20"/>
    </row>
    <row r="409" customFormat="false" ht="15" hidden="false" customHeight="false" outlineLevel="0" collapsed="false">
      <c r="A409" s="11" t="n">
        <v>405</v>
      </c>
      <c r="B409" s="11" t="n">
        <v>205</v>
      </c>
      <c r="C409" s="11" t="n">
        <v>41</v>
      </c>
      <c r="D409" s="11" t="n">
        <v>5</v>
      </c>
      <c r="E409" s="11" t="n">
        <v>1</v>
      </c>
      <c r="F409" s="11" t="s">
        <v>59</v>
      </c>
      <c r="G409" s="11" t="n">
        <v>5</v>
      </c>
      <c r="H409" s="11" t="n">
        <v>10</v>
      </c>
      <c r="I409" s="16"/>
      <c r="J409" s="16"/>
      <c r="K409" s="17" t="str">
        <f aca="false">IF(AND(I409&lt;&gt;"",J409&lt;&gt;"",J409&lt;&gt;0),I409/J409,"")</f>
        <v/>
      </c>
      <c r="L409" s="16"/>
      <c r="M409" s="16"/>
      <c r="N409" s="16"/>
      <c r="O409" s="16" t="n">
        <v>1.5</v>
      </c>
      <c r="P409" s="17" t="str">
        <f aca="false">IF(AND(N409&lt;&gt;"",O409&lt;&gt;"",I409&lt;&gt;"",I409&lt;&gt;0),N409/(O409*9.81*I409),"")</f>
        <v/>
      </c>
      <c r="Q409" s="16"/>
      <c r="R409" s="18"/>
    </row>
    <row r="410" customFormat="false" ht="15" hidden="false" customHeight="false" outlineLevel="0" collapsed="false">
      <c r="A410" s="13" t="n">
        <v>406</v>
      </c>
      <c r="B410" s="13" t="n">
        <v>299</v>
      </c>
      <c r="C410" s="13" t="n">
        <v>60</v>
      </c>
      <c r="D410" s="13" t="n">
        <v>4</v>
      </c>
      <c r="E410" s="13" t="n">
        <v>1.5</v>
      </c>
      <c r="F410" s="13" t="s">
        <v>57</v>
      </c>
      <c r="G410" s="13" t="n">
        <v>5</v>
      </c>
      <c r="H410" s="13" t="n">
        <v>20</v>
      </c>
      <c r="I410" s="19"/>
      <c r="J410" s="19"/>
      <c r="K410" s="17" t="str">
        <f aca="false">IF(AND(I410&lt;&gt;"",J410&lt;&gt;"",J410&lt;&gt;0),I410/J410,"")</f>
        <v/>
      </c>
      <c r="L410" s="19"/>
      <c r="M410" s="19"/>
      <c r="N410" s="19"/>
      <c r="O410" s="19" t="n">
        <v>1.5</v>
      </c>
      <c r="P410" s="17" t="str">
        <f aca="false">IF(AND(N410&lt;&gt;"",O410&lt;&gt;"",I410&lt;&gt;"",I410&lt;&gt;0),N410/(O410*9.81*I410),"")</f>
        <v/>
      </c>
      <c r="Q410" s="19"/>
      <c r="R410" s="20"/>
    </row>
    <row r="411" customFormat="false" ht="15" hidden="false" customHeight="false" outlineLevel="0" collapsed="false">
      <c r="A411" s="11" t="n">
        <v>407</v>
      </c>
      <c r="B411" s="11" t="n">
        <v>220</v>
      </c>
      <c r="C411" s="11" t="n">
        <v>44</v>
      </c>
      <c r="D411" s="11" t="n">
        <v>5</v>
      </c>
      <c r="E411" s="11" t="n">
        <v>1</v>
      </c>
      <c r="F411" s="11" t="s">
        <v>59</v>
      </c>
      <c r="G411" s="11" t="n">
        <v>10</v>
      </c>
      <c r="H411" s="11" t="n">
        <v>10</v>
      </c>
      <c r="I411" s="16"/>
      <c r="J411" s="16"/>
      <c r="K411" s="17" t="str">
        <f aca="false">IF(AND(I411&lt;&gt;"",J411&lt;&gt;"",J411&lt;&gt;0),I411/J411,"")</f>
        <v/>
      </c>
      <c r="L411" s="16"/>
      <c r="M411" s="16"/>
      <c r="N411" s="16"/>
      <c r="O411" s="16" t="n">
        <v>1.5</v>
      </c>
      <c r="P411" s="17" t="str">
        <f aca="false">IF(AND(N411&lt;&gt;"",O411&lt;&gt;"",I411&lt;&gt;"",I411&lt;&gt;0),N411/(O411*9.81*I411),"")</f>
        <v/>
      </c>
      <c r="Q411" s="16"/>
      <c r="R411" s="18"/>
    </row>
    <row r="412" customFormat="false" ht="15" hidden="false" customHeight="false" outlineLevel="0" collapsed="false">
      <c r="A412" s="13" t="n">
        <v>408</v>
      </c>
      <c r="B412" s="13" t="n">
        <v>300</v>
      </c>
      <c r="C412" s="13" t="n">
        <v>60</v>
      </c>
      <c r="D412" s="13" t="n">
        <v>5</v>
      </c>
      <c r="E412" s="13" t="n">
        <v>1.5</v>
      </c>
      <c r="F412" s="13" t="s">
        <v>57</v>
      </c>
      <c r="G412" s="13" t="n">
        <v>5</v>
      </c>
      <c r="H412" s="13" t="n">
        <v>20</v>
      </c>
      <c r="I412" s="19"/>
      <c r="J412" s="19"/>
      <c r="K412" s="17" t="str">
        <f aca="false">IF(AND(I412&lt;&gt;"",J412&lt;&gt;"",J412&lt;&gt;0),I412/J412,"")</f>
        <v/>
      </c>
      <c r="L412" s="19"/>
      <c r="M412" s="19"/>
      <c r="N412" s="19"/>
      <c r="O412" s="19" t="n">
        <v>1.5</v>
      </c>
      <c r="P412" s="17" t="str">
        <f aca="false">IF(AND(N412&lt;&gt;"",O412&lt;&gt;"",I412&lt;&gt;"",I412&lt;&gt;0),N412/(O412*9.81*I412),"")</f>
        <v/>
      </c>
      <c r="Q412" s="19"/>
      <c r="R412" s="20"/>
    </row>
    <row r="413" customFormat="false" ht="15" hidden="false" customHeight="false" outlineLevel="0" collapsed="false">
      <c r="A413" s="11" t="n">
        <v>409</v>
      </c>
      <c r="B413" s="11" t="n">
        <v>383</v>
      </c>
      <c r="C413" s="11" t="n">
        <v>77</v>
      </c>
      <c r="D413" s="11" t="n">
        <v>3</v>
      </c>
      <c r="E413" s="11" t="n">
        <v>1.5</v>
      </c>
      <c r="F413" s="11" t="s">
        <v>61</v>
      </c>
      <c r="G413" s="11" t="n">
        <v>5</v>
      </c>
      <c r="H413" s="11" t="n">
        <v>10</v>
      </c>
      <c r="I413" s="16"/>
      <c r="J413" s="16"/>
      <c r="K413" s="17" t="str">
        <f aca="false">IF(AND(I413&lt;&gt;"",J413&lt;&gt;"",J413&lt;&gt;0),I413/J413,"")</f>
        <v/>
      </c>
      <c r="L413" s="16"/>
      <c r="M413" s="16"/>
      <c r="N413" s="16"/>
      <c r="O413" s="16" t="n">
        <v>1.5</v>
      </c>
      <c r="P413" s="17" t="str">
        <f aca="false">IF(AND(N413&lt;&gt;"",O413&lt;&gt;"",I413&lt;&gt;"",I413&lt;&gt;0),N413/(O413*9.81*I413),"")</f>
        <v/>
      </c>
      <c r="Q413" s="16"/>
      <c r="R413" s="18"/>
    </row>
    <row r="414" customFormat="false" ht="15" hidden="false" customHeight="false" outlineLevel="0" collapsed="false">
      <c r="A414" s="13" t="n">
        <v>410</v>
      </c>
      <c r="B414" s="13" t="n">
        <v>135</v>
      </c>
      <c r="C414" s="13" t="n">
        <v>27</v>
      </c>
      <c r="D414" s="13" t="n">
        <v>5</v>
      </c>
      <c r="E414" s="13" t="n">
        <v>0.5</v>
      </c>
      <c r="F414" s="13" t="s">
        <v>61</v>
      </c>
      <c r="G414" s="13" t="n">
        <v>10</v>
      </c>
      <c r="H414" s="13" t="n">
        <v>20</v>
      </c>
      <c r="I414" s="19"/>
      <c r="J414" s="19"/>
      <c r="K414" s="17" t="str">
        <f aca="false">IF(AND(I414&lt;&gt;"",J414&lt;&gt;"",J414&lt;&gt;0),I414/J414,"")</f>
        <v/>
      </c>
      <c r="L414" s="19"/>
      <c r="M414" s="19"/>
      <c r="N414" s="19"/>
      <c r="O414" s="19" t="n">
        <v>1.5</v>
      </c>
      <c r="P414" s="17" t="str">
        <f aca="false">IF(AND(N414&lt;&gt;"",O414&lt;&gt;"",I414&lt;&gt;"",I414&lt;&gt;0),N414/(O414*9.81*I414),"")</f>
        <v/>
      </c>
      <c r="Q414" s="19"/>
      <c r="R414" s="20"/>
    </row>
    <row r="415" customFormat="false" ht="15" hidden="false" customHeight="false" outlineLevel="0" collapsed="false">
      <c r="A415" s="11" t="n">
        <v>411</v>
      </c>
      <c r="B415" s="11" t="n">
        <v>276</v>
      </c>
      <c r="C415" s="11" t="n">
        <v>56</v>
      </c>
      <c r="D415" s="11" t="n">
        <v>1</v>
      </c>
      <c r="E415" s="11" t="n">
        <v>1.5</v>
      </c>
      <c r="F415" s="11" t="s">
        <v>57</v>
      </c>
      <c r="G415" s="11" t="n">
        <v>2</v>
      </c>
      <c r="H415" s="11" t="n">
        <v>10</v>
      </c>
      <c r="I415" s="16"/>
      <c r="J415" s="16"/>
      <c r="K415" s="17" t="str">
        <f aca="false">IF(AND(I415&lt;&gt;"",J415&lt;&gt;"",J415&lt;&gt;0),I415/J415,"")</f>
        <v/>
      </c>
      <c r="L415" s="16"/>
      <c r="M415" s="16"/>
      <c r="N415" s="16"/>
      <c r="O415" s="16" t="n">
        <v>1.5</v>
      </c>
      <c r="P415" s="17" t="str">
        <f aca="false">IF(AND(N415&lt;&gt;"",O415&lt;&gt;"",I415&lt;&gt;"",I415&lt;&gt;0),N415/(O415*9.81*I415),"")</f>
        <v/>
      </c>
      <c r="Q415" s="16"/>
      <c r="R415" s="18"/>
    </row>
    <row r="416" customFormat="false" ht="15" hidden="false" customHeight="false" outlineLevel="0" collapsed="false">
      <c r="A416" s="13" t="n">
        <v>412</v>
      </c>
      <c r="B416" s="13" t="n">
        <v>288</v>
      </c>
      <c r="C416" s="13" t="n">
        <v>58</v>
      </c>
      <c r="D416" s="13" t="n">
        <v>3</v>
      </c>
      <c r="E416" s="13" t="n">
        <v>1.5</v>
      </c>
      <c r="F416" s="13" t="s">
        <v>57</v>
      </c>
      <c r="G416" s="13" t="n">
        <v>5</v>
      </c>
      <c r="H416" s="13" t="n">
        <v>0</v>
      </c>
      <c r="I416" s="19"/>
      <c r="J416" s="19"/>
      <c r="K416" s="17" t="str">
        <f aca="false">IF(AND(I416&lt;&gt;"",J416&lt;&gt;"",J416&lt;&gt;0),I416/J416,"")</f>
        <v/>
      </c>
      <c r="L416" s="19"/>
      <c r="M416" s="19"/>
      <c r="N416" s="19"/>
      <c r="O416" s="19" t="n">
        <v>1.5</v>
      </c>
      <c r="P416" s="17" t="str">
        <f aca="false">IF(AND(N416&lt;&gt;"",O416&lt;&gt;"",I416&lt;&gt;"",I416&lt;&gt;0),N416/(O416*9.81*I416),"")</f>
        <v/>
      </c>
      <c r="Q416" s="19"/>
      <c r="R416" s="20"/>
    </row>
    <row r="417" customFormat="false" ht="15" hidden="false" customHeight="false" outlineLevel="0" collapsed="false">
      <c r="A417" s="11" t="n">
        <v>413</v>
      </c>
      <c r="B417" s="11" t="n">
        <v>382</v>
      </c>
      <c r="C417" s="11" t="n">
        <v>77</v>
      </c>
      <c r="D417" s="11" t="n">
        <v>2</v>
      </c>
      <c r="E417" s="11" t="n">
        <v>1.5</v>
      </c>
      <c r="F417" s="11" t="s">
        <v>61</v>
      </c>
      <c r="G417" s="11" t="n">
        <v>5</v>
      </c>
      <c r="H417" s="11" t="n">
        <v>10</v>
      </c>
      <c r="I417" s="16"/>
      <c r="J417" s="16"/>
      <c r="K417" s="17" t="str">
        <f aca="false">IF(AND(I417&lt;&gt;"",J417&lt;&gt;"",J417&lt;&gt;0),I417/J417,"")</f>
        <v/>
      </c>
      <c r="L417" s="16"/>
      <c r="M417" s="16"/>
      <c r="N417" s="16"/>
      <c r="O417" s="16" t="n">
        <v>1.5</v>
      </c>
      <c r="P417" s="17" t="str">
        <f aca="false">IF(AND(N417&lt;&gt;"",O417&lt;&gt;"",I417&lt;&gt;"",I417&lt;&gt;0),N417/(O417*9.81*I417),"")</f>
        <v/>
      </c>
      <c r="Q417" s="16"/>
      <c r="R417" s="18"/>
    </row>
    <row r="418" customFormat="false" ht="15" hidden="false" customHeight="false" outlineLevel="0" collapsed="false">
      <c r="A418" s="13" t="n">
        <v>414</v>
      </c>
      <c r="B418" s="13" t="n">
        <v>127</v>
      </c>
      <c r="C418" s="13" t="n">
        <v>26</v>
      </c>
      <c r="D418" s="13" t="n">
        <v>2</v>
      </c>
      <c r="E418" s="13" t="n">
        <v>0.5</v>
      </c>
      <c r="F418" s="13" t="s">
        <v>61</v>
      </c>
      <c r="G418" s="13" t="n">
        <v>10</v>
      </c>
      <c r="H418" s="13" t="n">
        <v>10</v>
      </c>
      <c r="I418" s="19"/>
      <c r="J418" s="19"/>
      <c r="K418" s="17" t="str">
        <f aca="false">IF(AND(I418&lt;&gt;"",J418&lt;&gt;"",J418&lt;&gt;0),I418/J418,"")</f>
        <v/>
      </c>
      <c r="L418" s="19"/>
      <c r="M418" s="19"/>
      <c r="N418" s="19"/>
      <c r="O418" s="19" t="n">
        <v>1.5</v>
      </c>
      <c r="P418" s="17" t="str">
        <f aca="false">IF(AND(N418&lt;&gt;"",O418&lt;&gt;"",I418&lt;&gt;"",I418&lt;&gt;0),N418/(O418*9.81*I418),"")</f>
        <v/>
      </c>
      <c r="Q418" s="19"/>
      <c r="R418" s="20"/>
    </row>
    <row r="419" customFormat="false" ht="15" hidden="false" customHeight="false" outlineLevel="0" collapsed="false">
      <c r="A419" s="11" t="n">
        <v>415</v>
      </c>
      <c r="B419" s="11" t="n">
        <v>72</v>
      </c>
      <c r="C419" s="11" t="n">
        <v>15</v>
      </c>
      <c r="D419" s="11" t="n">
        <v>2</v>
      </c>
      <c r="E419" s="11" t="n">
        <v>0.5</v>
      </c>
      <c r="F419" s="11" t="s">
        <v>59</v>
      </c>
      <c r="G419" s="11" t="n">
        <v>5</v>
      </c>
      <c r="H419" s="11" t="n">
        <v>20</v>
      </c>
      <c r="I419" s="16"/>
      <c r="J419" s="16"/>
      <c r="K419" s="17" t="str">
        <f aca="false">IF(AND(I419&lt;&gt;"",J419&lt;&gt;"",J419&lt;&gt;0),I419/J419,"")</f>
        <v/>
      </c>
      <c r="L419" s="16"/>
      <c r="M419" s="16"/>
      <c r="N419" s="16"/>
      <c r="O419" s="16" t="n">
        <v>1.5</v>
      </c>
      <c r="P419" s="17" t="str">
        <f aca="false">IF(AND(N419&lt;&gt;"",O419&lt;&gt;"",I419&lt;&gt;"",I419&lt;&gt;0),N419/(O419*9.81*I419),"")</f>
        <v/>
      </c>
      <c r="Q419" s="16"/>
      <c r="R419" s="18"/>
    </row>
    <row r="420" customFormat="false" ht="15" hidden="false" customHeight="false" outlineLevel="0" collapsed="false">
      <c r="A420" s="13" t="n">
        <v>416</v>
      </c>
      <c r="B420" s="13" t="n">
        <v>503</v>
      </c>
      <c r="C420" s="13" t="n">
        <v>101</v>
      </c>
      <c r="D420" s="13" t="n">
        <v>3</v>
      </c>
      <c r="E420" s="13" t="n">
        <v>2</v>
      </c>
      <c r="F420" s="13" t="s">
        <v>61</v>
      </c>
      <c r="G420" s="13" t="n">
        <v>2</v>
      </c>
      <c r="H420" s="13" t="n">
        <v>10</v>
      </c>
      <c r="I420" s="19"/>
      <c r="J420" s="19"/>
      <c r="K420" s="17" t="str">
        <f aca="false">IF(AND(I420&lt;&gt;"",J420&lt;&gt;"",J420&lt;&gt;0),I420/J420,"")</f>
        <v/>
      </c>
      <c r="L420" s="19"/>
      <c r="M420" s="19"/>
      <c r="N420" s="19"/>
      <c r="O420" s="19" t="n">
        <v>1.5</v>
      </c>
      <c r="P420" s="17" t="str">
        <f aca="false">IF(AND(N420&lt;&gt;"",O420&lt;&gt;"",I420&lt;&gt;"",I420&lt;&gt;0),N420/(O420*9.81*I420),"")</f>
        <v/>
      </c>
      <c r="Q420" s="19"/>
      <c r="R420" s="20"/>
    </row>
    <row r="421" customFormat="false" ht="15" hidden="false" customHeight="false" outlineLevel="0" collapsed="false">
      <c r="A421" s="11" t="n">
        <v>417</v>
      </c>
      <c r="B421" s="11" t="n">
        <v>74</v>
      </c>
      <c r="C421" s="11" t="n">
        <v>15</v>
      </c>
      <c r="D421" s="11" t="n">
        <v>4</v>
      </c>
      <c r="E421" s="11" t="n">
        <v>0.5</v>
      </c>
      <c r="F421" s="11" t="s">
        <v>59</v>
      </c>
      <c r="G421" s="11" t="n">
        <v>5</v>
      </c>
      <c r="H421" s="11" t="n">
        <v>20</v>
      </c>
      <c r="I421" s="16"/>
      <c r="J421" s="16"/>
      <c r="K421" s="17" t="str">
        <f aca="false">IF(AND(I421&lt;&gt;"",J421&lt;&gt;"",J421&lt;&gt;0),I421/J421,"")</f>
        <v/>
      </c>
      <c r="L421" s="16"/>
      <c r="M421" s="16"/>
      <c r="N421" s="16"/>
      <c r="O421" s="16" t="n">
        <v>1.5</v>
      </c>
      <c r="P421" s="17" t="str">
        <f aca="false">IF(AND(N421&lt;&gt;"",O421&lt;&gt;"",I421&lt;&gt;"",I421&lt;&gt;0),N421/(O421*9.81*I421),"")</f>
        <v/>
      </c>
      <c r="Q421" s="16"/>
      <c r="R421" s="18"/>
    </row>
    <row r="422" customFormat="false" ht="15" hidden="false" customHeight="false" outlineLevel="0" collapsed="false">
      <c r="A422" s="13" t="n">
        <v>418</v>
      </c>
      <c r="B422" s="13" t="n">
        <v>235</v>
      </c>
      <c r="C422" s="13" t="n">
        <v>47</v>
      </c>
      <c r="D422" s="13" t="n">
        <v>5</v>
      </c>
      <c r="E422" s="13" t="n">
        <v>1</v>
      </c>
      <c r="F422" s="13" t="s">
        <v>61</v>
      </c>
      <c r="G422" s="13" t="n">
        <v>2</v>
      </c>
      <c r="H422" s="13" t="n">
        <v>10</v>
      </c>
      <c r="I422" s="19"/>
      <c r="J422" s="19"/>
      <c r="K422" s="17" t="str">
        <f aca="false">IF(AND(I422&lt;&gt;"",J422&lt;&gt;"",J422&lt;&gt;0),I422/J422,"")</f>
        <v/>
      </c>
      <c r="L422" s="19"/>
      <c r="M422" s="19"/>
      <c r="N422" s="19"/>
      <c r="O422" s="19" t="n">
        <v>1.5</v>
      </c>
      <c r="P422" s="17" t="str">
        <f aca="false">IF(AND(N422&lt;&gt;"",O422&lt;&gt;"",I422&lt;&gt;"",I422&lt;&gt;0),N422/(O422*9.81*I422),"")</f>
        <v/>
      </c>
      <c r="Q422" s="19"/>
      <c r="R422" s="20"/>
    </row>
    <row r="423" customFormat="false" ht="15" hidden="false" customHeight="false" outlineLevel="0" collapsed="false">
      <c r="A423" s="11" t="n">
        <v>419</v>
      </c>
      <c r="B423" s="11" t="n">
        <v>330</v>
      </c>
      <c r="C423" s="11" t="n">
        <v>66</v>
      </c>
      <c r="D423" s="11" t="n">
        <v>5</v>
      </c>
      <c r="E423" s="11" t="n">
        <v>1.5</v>
      </c>
      <c r="F423" s="11" t="s">
        <v>59</v>
      </c>
      <c r="G423" s="11" t="n">
        <v>2</v>
      </c>
      <c r="H423" s="11" t="n">
        <v>20</v>
      </c>
      <c r="I423" s="16"/>
      <c r="J423" s="16"/>
      <c r="K423" s="17" t="str">
        <f aca="false">IF(AND(I423&lt;&gt;"",J423&lt;&gt;"",J423&lt;&gt;0),I423/J423,"")</f>
        <v/>
      </c>
      <c r="L423" s="16"/>
      <c r="M423" s="16"/>
      <c r="N423" s="16"/>
      <c r="O423" s="16" t="n">
        <v>1.5</v>
      </c>
      <c r="P423" s="17" t="str">
        <f aca="false">IF(AND(N423&lt;&gt;"",O423&lt;&gt;"",I423&lt;&gt;"",I423&lt;&gt;0),N423/(O423*9.81*I423),"")</f>
        <v/>
      </c>
      <c r="Q423" s="16"/>
      <c r="R423" s="18"/>
    </row>
    <row r="424" customFormat="false" ht="15" hidden="false" customHeight="false" outlineLevel="0" collapsed="false">
      <c r="A424" s="13" t="n">
        <v>420</v>
      </c>
      <c r="B424" s="13" t="n">
        <v>203</v>
      </c>
      <c r="C424" s="13" t="n">
        <v>41</v>
      </c>
      <c r="D424" s="13" t="n">
        <v>3</v>
      </c>
      <c r="E424" s="13" t="n">
        <v>1</v>
      </c>
      <c r="F424" s="13" t="s">
        <v>59</v>
      </c>
      <c r="G424" s="13" t="n">
        <v>5</v>
      </c>
      <c r="H424" s="13" t="n">
        <v>10</v>
      </c>
      <c r="I424" s="19"/>
      <c r="J424" s="19"/>
      <c r="K424" s="17" t="str">
        <f aca="false">IF(AND(I424&lt;&gt;"",J424&lt;&gt;"",J424&lt;&gt;0),I424/J424,"")</f>
        <v/>
      </c>
      <c r="L424" s="19"/>
      <c r="M424" s="19"/>
      <c r="N424" s="19"/>
      <c r="O424" s="19" t="n">
        <v>1.5</v>
      </c>
      <c r="P424" s="17" t="str">
        <f aca="false">IF(AND(N424&lt;&gt;"",O424&lt;&gt;"",I424&lt;&gt;"",I424&lt;&gt;0),N424/(O424*9.81*I424),"")</f>
        <v/>
      </c>
      <c r="Q424" s="19"/>
      <c r="R424" s="20"/>
    </row>
    <row r="425" customFormat="false" ht="15" hidden="false" customHeight="false" outlineLevel="0" collapsed="false">
      <c r="A425" s="11" t="n">
        <v>421</v>
      </c>
      <c r="B425" s="11" t="n">
        <v>256</v>
      </c>
      <c r="C425" s="11" t="n">
        <v>52</v>
      </c>
      <c r="D425" s="11" t="n">
        <v>1</v>
      </c>
      <c r="E425" s="11" t="n">
        <v>1</v>
      </c>
      <c r="F425" s="11" t="s">
        <v>61</v>
      </c>
      <c r="G425" s="11" t="n">
        <v>10</v>
      </c>
      <c r="H425" s="11" t="n">
        <v>0</v>
      </c>
      <c r="I425" s="16"/>
      <c r="J425" s="16"/>
      <c r="K425" s="17" t="str">
        <f aca="false">IF(AND(I425&lt;&gt;"",J425&lt;&gt;"",J425&lt;&gt;0),I425/J425,"")</f>
        <v/>
      </c>
      <c r="L425" s="16"/>
      <c r="M425" s="16"/>
      <c r="N425" s="16"/>
      <c r="O425" s="16" t="n">
        <v>1.5</v>
      </c>
      <c r="P425" s="17" t="str">
        <f aca="false">IF(AND(N425&lt;&gt;"",O425&lt;&gt;"",I425&lt;&gt;"",I425&lt;&gt;0),N425/(O425*9.81*I425),"")</f>
        <v/>
      </c>
      <c r="Q425" s="16"/>
      <c r="R425" s="18"/>
    </row>
    <row r="426" customFormat="false" ht="15" hidden="false" customHeight="false" outlineLevel="0" collapsed="false">
      <c r="A426" s="13" t="n">
        <v>422</v>
      </c>
      <c r="B426" s="13" t="n">
        <v>336</v>
      </c>
      <c r="C426" s="13" t="n">
        <v>68</v>
      </c>
      <c r="D426" s="13" t="n">
        <v>1</v>
      </c>
      <c r="E426" s="13" t="n">
        <v>1.5</v>
      </c>
      <c r="F426" s="13" t="s">
        <v>59</v>
      </c>
      <c r="G426" s="13" t="n">
        <v>5</v>
      </c>
      <c r="H426" s="13" t="n">
        <v>10</v>
      </c>
      <c r="I426" s="19"/>
      <c r="J426" s="19"/>
      <c r="K426" s="17" t="str">
        <f aca="false">IF(AND(I426&lt;&gt;"",J426&lt;&gt;"",J426&lt;&gt;0),I426/J426,"")</f>
        <v/>
      </c>
      <c r="L426" s="19"/>
      <c r="M426" s="19"/>
      <c r="N426" s="19"/>
      <c r="O426" s="19" t="n">
        <v>1.5</v>
      </c>
      <c r="P426" s="17" t="str">
        <f aca="false">IF(AND(N426&lt;&gt;"",O426&lt;&gt;"",I426&lt;&gt;"",I426&lt;&gt;0),N426/(O426*9.81*I426),"")</f>
        <v/>
      </c>
      <c r="Q426" s="19"/>
      <c r="R426" s="20"/>
    </row>
    <row r="427" customFormat="false" ht="15" hidden="false" customHeight="false" outlineLevel="0" collapsed="false">
      <c r="A427" s="11" t="n">
        <v>423</v>
      </c>
      <c r="B427" s="11" t="n">
        <v>427</v>
      </c>
      <c r="C427" s="11" t="n">
        <v>86</v>
      </c>
      <c r="D427" s="11" t="n">
        <v>2</v>
      </c>
      <c r="E427" s="11" t="n">
        <v>2</v>
      </c>
      <c r="F427" s="11" t="s">
        <v>57</v>
      </c>
      <c r="G427" s="11" t="n">
        <v>5</v>
      </c>
      <c r="H427" s="11" t="n">
        <v>10</v>
      </c>
      <c r="I427" s="16"/>
      <c r="J427" s="16"/>
      <c r="K427" s="17" t="str">
        <f aca="false">IF(AND(I427&lt;&gt;"",J427&lt;&gt;"",J427&lt;&gt;0),I427/J427,"")</f>
        <v/>
      </c>
      <c r="L427" s="16"/>
      <c r="M427" s="16"/>
      <c r="N427" s="16"/>
      <c r="O427" s="16" t="n">
        <v>1.5</v>
      </c>
      <c r="P427" s="17" t="str">
        <f aca="false">IF(AND(N427&lt;&gt;"",O427&lt;&gt;"",I427&lt;&gt;"",I427&lt;&gt;0),N427/(O427*9.81*I427),"")</f>
        <v/>
      </c>
      <c r="Q427" s="16"/>
      <c r="R427" s="18"/>
    </row>
    <row r="428" customFormat="false" ht="15" hidden="false" customHeight="false" outlineLevel="0" collapsed="false">
      <c r="A428" s="13" t="n">
        <v>424</v>
      </c>
      <c r="B428" s="13" t="n">
        <v>431</v>
      </c>
      <c r="C428" s="13" t="n">
        <v>87</v>
      </c>
      <c r="D428" s="13" t="n">
        <v>1</v>
      </c>
      <c r="E428" s="13" t="n">
        <v>2</v>
      </c>
      <c r="F428" s="13" t="s">
        <v>57</v>
      </c>
      <c r="G428" s="13" t="n">
        <v>5</v>
      </c>
      <c r="H428" s="13" t="n">
        <v>20</v>
      </c>
      <c r="I428" s="19"/>
      <c r="J428" s="19"/>
      <c r="K428" s="17" t="str">
        <f aca="false">IF(AND(I428&lt;&gt;"",J428&lt;&gt;"",J428&lt;&gt;0),I428/J428,"")</f>
        <v/>
      </c>
      <c r="L428" s="19"/>
      <c r="M428" s="19"/>
      <c r="N428" s="19"/>
      <c r="O428" s="19" t="n">
        <v>1.5</v>
      </c>
      <c r="P428" s="17" t="str">
        <f aca="false">IF(AND(N428&lt;&gt;"",O428&lt;&gt;"",I428&lt;&gt;"",I428&lt;&gt;0),N428/(O428*9.81*I428),"")</f>
        <v/>
      </c>
      <c r="Q428" s="19"/>
      <c r="R428" s="20"/>
    </row>
    <row r="429" customFormat="false" ht="15" hidden="false" customHeight="false" outlineLevel="0" collapsed="false">
      <c r="A429" s="11" t="n">
        <v>425</v>
      </c>
      <c r="B429" s="11" t="n">
        <v>368</v>
      </c>
      <c r="C429" s="11" t="n">
        <v>74</v>
      </c>
      <c r="D429" s="11" t="n">
        <v>3</v>
      </c>
      <c r="E429" s="11" t="n">
        <v>1.5</v>
      </c>
      <c r="F429" s="11" t="s">
        <v>61</v>
      </c>
      <c r="G429" s="11" t="n">
        <v>2</v>
      </c>
      <c r="H429" s="11" t="n">
        <v>10</v>
      </c>
      <c r="I429" s="16"/>
      <c r="J429" s="16"/>
      <c r="K429" s="17" t="str">
        <f aca="false">IF(AND(I429&lt;&gt;"",J429&lt;&gt;"",J429&lt;&gt;0),I429/J429,"")</f>
        <v/>
      </c>
      <c r="L429" s="16"/>
      <c r="M429" s="16"/>
      <c r="N429" s="16"/>
      <c r="O429" s="16" t="n">
        <v>1.5</v>
      </c>
      <c r="P429" s="17" t="str">
        <f aca="false">IF(AND(N429&lt;&gt;"",O429&lt;&gt;"",I429&lt;&gt;"",I429&lt;&gt;0),N429/(O429*9.81*I429),"")</f>
        <v/>
      </c>
      <c r="Q429" s="16"/>
      <c r="R429" s="18"/>
    </row>
    <row r="430" customFormat="false" ht="15" hidden="false" customHeight="false" outlineLevel="0" collapsed="false">
      <c r="A430" s="13" t="n">
        <v>426</v>
      </c>
      <c r="B430" s="13" t="n">
        <v>291</v>
      </c>
      <c r="C430" s="13" t="n">
        <v>59</v>
      </c>
      <c r="D430" s="13" t="n">
        <v>1</v>
      </c>
      <c r="E430" s="13" t="n">
        <v>1.5</v>
      </c>
      <c r="F430" s="13" t="s">
        <v>57</v>
      </c>
      <c r="G430" s="13" t="n">
        <v>5</v>
      </c>
      <c r="H430" s="13" t="n">
        <v>10</v>
      </c>
      <c r="I430" s="19"/>
      <c r="J430" s="19"/>
      <c r="K430" s="17" t="str">
        <f aca="false">IF(AND(I430&lt;&gt;"",J430&lt;&gt;"",J430&lt;&gt;0),I430/J430,"")</f>
        <v/>
      </c>
      <c r="L430" s="19"/>
      <c r="M430" s="19"/>
      <c r="N430" s="19"/>
      <c r="O430" s="19" t="n">
        <v>1.5</v>
      </c>
      <c r="P430" s="17" t="str">
        <f aca="false">IF(AND(N430&lt;&gt;"",O430&lt;&gt;"",I430&lt;&gt;"",I430&lt;&gt;0),N430/(O430*9.81*I430),"")</f>
        <v/>
      </c>
      <c r="Q430" s="19"/>
      <c r="R430" s="20"/>
    </row>
    <row r="431" customFormat="false" ht="15" hidden="false" customHeight="false" outlineLevel="0" collapsed="false">
      <c r="A431" s="11" t="n">
        <v>427</v>
      </c>
      <c r="B431" s="11" t="n">
        <v>109</v>
      </c>
      <c r="C431" s="11" t="n">
        <v>22</v>
      </c>
      <c r="D431" s="11" t="n">
        <v>4</v>
      </c>
      <c r="E431" s="11" t="n">
        <v>0.5</v>
      </c>
      <c r="F431" s="11" t="s">
        <v>61</v>
      </c>
      <c r="G431" s="11" t="n">
        <v>5</v>
      </c>
      <c r="H431" s="11" t="n">
        <v>0</v>
      </c>
      <c r="I431" s="16"/>
      <c r="J431" s="16"/>
      <c r="K431" s="17" t="str">
        <f aca="false">IF(AND(I431&lt;&gt;"",J431&lt;&gt;"",J431&lt;&gt;0),I431/J431,"")</f>
        <v/>
      </c>
      <c r="L431" s="16"/>
      <c r="M431" s="16"/>
      <c r="N431" s="16"/>
      <c r="O431" s="16" t="n">
        <v>1.5</v>
      </c>
      <c r="P431" s="17" t="str">
        <f aca="false">IF(AND(N431&lt;&gt;"",O431&lt;&gt;"",I431&lt;&gt;"",I431&lt;&gt;0),N431/(O431*9.81*I431),"")</f>
        <v/>
      </c>
      <c r="Q431" s="16"/>
      <c r="R431" s="18"/>
    </row>
    <row r="432" customFormat="false" ht="15" hidden="false" customHeight="false" outlineLevel="0" collapsed="false">
      <c r="A432" s="13" t="n">
        <v>428</v>
      </c>
      <c r="B432" s="13" t="n">
        <v>34</v>
      </c>
      <c r="C432" s="13" t="n">
        <v>7</v>
      </c>
      <c r="D432" s="13" t="n">
        <v>4</v>
      </c>
      <c r="E432" s="13" t="n">
        <v>0.5</v>
      </c>
      <c r="F432" s="13" t="s">
        <v>57</v>
      </c>
      <c r="G432" s="13" t="n">
        <v>10</v>
      </c>
      <c r="H432" s="13" t="n">
        <v>0</v>
      </c>
      <c r="I432" s="19"/>
      <c r="J432" s="19"/>
      <c r="K432" s="17" t="str">
        <f aca="false">IF(AND(I432&lt;&gt;"",J432&lt;&gt;"",J432&lt;&gt;0),I432/J432,"")</f>
        <v/>
      </c>
      <c r="L432" s="19"/>
      <c r="M432" s="19"/>
      <c r="N432" s="19"/>
      <c r="O432" s="19" t="n">
        <v>1.5</v>
      </c>
      <c r="P432" s="17" t="str">
        <f aca="false">IF(AND(N432&lt;&gt;"",O432&lt;&gt;"",I432&lt;&gt;"",I432&lt;&gt;0),N432/(O432*9.81*I432),"")</f>
        <v/>
      </c>
      <c r="Q432" s="19"/>
      <c r="R432" s="20"/>
    </row>
    <row r="433" customFormat="false" ht="15" hidden="false" customHeight="false" outlineLevel="0" collapsed="false">
      <c r="A433" s="11" t="n">
        <v>429</v>
      </c>
      <c r="B433" s="11" t="n">
        <v>138</v>
      </c>
      <c r="C433" s="11" t="n">
        <v>28</v>
      </c>
      <c r="D433" s="11" t="n">
        <v>3</v>
      </c>
      <c r="E433" s="11" t="n">
        <v>1</v>
      </c>
      <c r="F433" s="11" t="s">
        <v>57</v>
      </c>
      <c r="G433" s="11" t="n">
        <v>2</v>
      </c>
      <c r="H433" s="11" t="n">
        <v>0</v>
      </c>
      <c r="I433" s="16"/>
      <c r="J433" s="16"/>
      <c r="K433" s="17" t="str">
        <f aca="false">IF(AND(I433&lt;&gt;"",J433&lt;&gt;"",J433&lt;&gt;0),I433/J433,"")</f>
        <v/>
      </c>
      <c r="L433" s="16"/>
      <c r="M433" s="16"/>
      <c r="N433" s="16"/>
      <c r="O433" s="16" t="n">
        <v>1.5</v>
      </c>
      <c r="P433" s="17" t="str">
        <f aca="false">IF(AND(N433&lt;&gt;"",O433&lt;&gt;"",I433&lt;&gt;"",I433&lt;&gt;0),N433/(O433*9.81*I433),"")</f>
        <v/>
      </c>
      <c r="Q433" s="16"/>
      <c r="R433" s="18"/>
    </row>
    <row r="434" customFormat="false" ht="15" hidden="false" customHeight="false" outlineLevel="0" collapsed="false">
      <c r="A434" s="13" t="n">
        <v>430</v>
      </c>
      <c r="B434" s="13" t="n">
        <v>206</v>
      </c>
      <c r="C434" s="13" t="n">
        <v>42</v>
      </c>
      <c r="D434" s="13" t="n">
        <v>1</v>
      </c>
      <c r="E434" s="13" t="n">
        <v>1</v>
      </c>
      <c r="F434" s="13" t="s">
        <v>59</v>
      </c>
      <c r="G434" s="13" t="n">
        <v>5</v>
      </c>
      <c r="H434" s="13" t="n">
        <v>20</v>
      </c>
      <c r="I434" s="19"/>
      <c r="J434" s="19"/>
      <c r="K434" s="17" t="str">
        <f aca="false">IF(AND(I434&lt;&gt;"",J434&lt;&gt;"",J434&lt;&gt;0),I434/J434,"")</f>
        <v/>
      </c>
      <c r="L434" s="19"/>
      <c r="M434" s="19"/>
      <c r="N434" s="19"/>
      <c r="O434" s="19" t="n">
        <v>1.5</v>
      </c>
      <c r="P434" s="17" t="str">
        <f aca="false">IF(AND(N434&lt;&gt;"",O434&lt;&gt;"",I434&lt;&gt;"",I434&lt;&gt;0),N434/(O434*9.81*I434),"")</f>
        <v/>
      </c>
      <c r="Q434" s="19"/>
      <c r="R434" s="20"/>
    </row>
    <row r="435" customFormat="false" ht="15" hidden="false" customHeight="false" outlineLevel="0" collapsed="false">
      <c r="A435" s="11" t="n">
        <v>431</v>
      </c>
      <c r="B435" s="11" t="n">
        <v>162</v>
      </c>
      <c r="C435" s="11" t="n">
        <v>33</v>
      </c>
      <c r="D435" s="11" t="n">
        <v>2</v>
      </c>
      <c r="E435" s="11" t="n">
        <v>1</v>
      </c>
      <c r="F435" s="11" t="s">
        <v>57</v>
      </c>
      <c r="G435" s="11" t="n">
        <v>5</v>
      </c>
      <c r="H435" s="11" t="n">
        <v>20</v>
      </c>
      <c r="I435" s="16"/>
      <c r="J435" s="16"/>
      <c r="K435" s="17" t="str">
        <f aca="false">IF(AND(I435&lt;&gt;"",J435&lt;&gt;"",J435&lt;&gt;0),I435/J435,"")</f>
        <v/>
      </c>
      <c r="L435" s="16"/>
      <c r="M435" s="16"/>
      <c r="N435" s="16"/>
      <c r="O435" s="16" t="n">
        <v>1.5</v>
      </c>
      <c r="P435" s="17" t="str">
        <f aca="false">IF(AND(N435&lt;&gt;"",O435&lt;&gt;"",I435&lt;&gt;"",I435&lt;&gt;0),N435/(O435*9.81*I435),"")</f>
        <v/>
      </c>
      <c r="Q435" s="16"/>
      <c r="R435" s="18"/>
    </row>
    <row r="436" customFormat="false" ht="15" hidden="false" customHeight="false" outlineLevel="0" collapsed="false">
      <c r="A436" s="13" t="n">
        <v>432</v>
      </c>
      <c r="B436" s="13" t="n">
        <v>413</v>
      </c>
      <c r="C436" s="13" t="n">
        <v>83</v>
      </c>
      <c r="D436" s="13" t="n">
        <v>3</v>
      </c>
      <c r="E436" s="13" t="n">
        <v>2</v>
      </c>
      <c r="F436" s="13" t="s">
        <v>57</v>
      </c>
      <c r="G436" s="13" t="n">
        <v>2</v>
      </c>
      <c r="H436" s="13" t="n">
        <v>10</v>
      </c>
      <c r="I436" s="19"/>
      <c r="J436" s="19"/>
      <c r="K436" s="17" t="str">
        <f aca="false">IF(AND(I436&lt;&gt;"",J436&lt;&gt;"",J436&lt;&gt;0),I436/J436,"")</f>
        <v/>
      </c>
      <c r="L436" s="19"/>
      <c r="M436" s="19"/>
      <c r="N436" s="19"/>
      <c r="O436" s="19" t="n">
        <v>1.5</v>
      </c>
      <c r="P436" s="17" t="str">
        <f aca="false">IF(AND(N436&lt;&gt;"",O436&lt;&gt;"",I436&lt;&gt;"",I436&lt;&gt;0),N436/(O436*9.81*I436),"")</f>
        <v/>
      </c>
      <c r="Q436" s="19"/>
      <c r="R436" s="20"/>
    </row>
    <row r="437" customFormat="false" ht="15" hidden="false" customHeight="false" outlineLevel="0" collapsed="false">
      <c r="A437" s="11" t="n">
        <v>433</v>
      </c>
      <c r="B437" s="11" t="n">
        <v>17</v>
      </c>
      <c r="C437" s="11" t="n">
        <v>4</v>
      </c>
      <c r="D437" s="11" t="n">
        <v>2</v>
      </c>
      <c r="E437" s="11" t="n">
        <v>0.5</v>
      </c>
      <c r="F437" s="11" t="s">
        <v>57</v>
      </c>
      <c r="G437" s="11" t="n">
        <v>5</v>
      </c>
      <c r="H437" s="11" t="n">
        <v>0</v>
      </c>
      <c r="I437" s="16"/>
      <c r="J437" s="16"/>
      <c r="K437" s="17" t="str">
        <f aca="false">IF(AND(I437&lt;&gt;"",J437&lt;&gt;"",J437&lt;&gt;0),I437/J437,"")</f>
        <v/>
      </c>
      <c r="L437" s="16"/>
      <c r="M437" s="16"/>
      <c r="N437" s="16"/>
      <c r="O437" s="16" t="n">
        <v>1.5</v>
      </c>
      <c r="P437" s="17" t="str">
        <f aca="false">IF(AND(N437&lt;&gt;"",O437&lt;&gt;"",I437&lt;&gt;"",I437&lt;&gt;0),N437/(O437*9.81*I437),"")</f>
        <v/>
      </c>
      <c r="Q437" s="16"/>
      <c r="R437" s="18"/>
    </row>
    <row r="438" customFormat="false" ht="15" hidden="false" customHeight="false" outlineLevel="0" collapsed="false">
      <c r="A438" s="13" t="n">
        <v>434</v>
      </c>
      <c r="B438" s="13" t="n">
        <v>421</v>
      </c>
      <c r="C438" s="13" t="n">
        <v>85</v>
      </c>
      <c r="D438" s="13" t="n">
        <v>1</v>
      </c>
      <c r="E438" s="13" t="n">
        <v>2</v>
      </c>
      <c r="F438" s="13" t="s">
        <v>57</v>
      </c>
      <c r="G438" s="13" t="n">
        <v>5</v>
      </c>
      <c r="H438" s="13" t="n">
        <v>0</v>
      </c>
      <c r="I438" s="19"/>
      <c r="J438" s="19"/>
      <c r="K438" s="17" t="str">
        <f aca="false">IF(AND(I438&lt;&gt;"",J438&lt;&gt;"",J438&lt;&gt;0),I438/J438,"")</f>
        <v/>
      </c>
      <c r="L438" s="19"/>
      <c r="M438" s="19"/>
      <c r="N438" s="19"/>
      <c r="O438" s="19" t="n">
        <v>1.5</v>
      </c>
      <c r="P438" s="17" t="str">
        <f aca="false">IF(AND(N438&lt;&gt;"",O438&lt;&gt;"",I438&lt;&gt;"",I438&lt;&gt;0),N438/(O438*9.81*I438),"")</f>
        <v/>
      </c>
      <c r="Q438" s="19"/>
      <c r="R438" s="20"/>
    </row>
    <row r="439" customFormat="false" ht="15" hidden="false" customHeight="false" outlineLevel="0" collapsed="false">
      <c r="A439" s="11" t="n">
        <v>435</v>
      </c>
      <c r="B439" s="11" t="n">
        <v>118</v>
      </c>
      <c r="C439" s="11" t="n">
        <v>24</v>
      </c>
      <c r="D439" s="11" t="n">
        <v>3</v>
      </c>
      <c r="E439" s="11" t="n">
        <v>0.5</v>
      </c>
      <c r="F439" s="11" t="s">
        <v>61</v>
      </c>
      <c r="G439" s="11" t="n">
        <v>5</v>
      </c>
      <c r="H439" s="11" t="n">
        <v>20</v>
      </c>
      <c r="I439" s="16"/>
      <c r="J439" s="16"/>
      <c r="K439" s="17" t="str">
        <f aca="false">IF(AND(I439&lt;&gt;"",J439&lt;&gt;"",J439&lt;&gt;0),I439/J439,"")</f>
        <v/>
      </c>
      <c r="L439" s="16"/>
      <c r="M439" s="16"/>
      <c r="N439" s="16"/>
      <c r="O439" s="16" t="n">
        <v>1.5</v>
      </c>
      <c r="P439" s="17" t="str">
        <f aca="false">IF(AND(N439&lt;&gt;"",O439&lt;&gt;"",I439&lt;&gt;"",I439&lt;&gt;0),N439/(O439*9.81*I439),"")</f>
        <v/>
      </c>
      <c r="Q439" s="16"/>
      <c r="R439" s="18"/>
    </row>
    <row r="440" customFormat="false" ht="15" hidden="false" customHeight="false" outlineLevel="0" collapsed="false">
      <c r="A440" s="13" t="n">
        <v>436</v>
      </c>
      <c r="B440" s="13" t="n">
        <v>29</v>
      </c>
      <c r="C440" s="13" t="n">
        <v>6</v>
      </c>
      <c r="D440" s="13" t="n">
        <v>4</v>
      </c>
      <c r="E440" s="13" t="n">
        <v>0.5</v>
      </c>
      <c r="F440" s="13" t="s">
        <v>57</v>
      </c>
      <c r="G440" s="13" t="n">
        <v>5</v>
      </c>
      <c r="H440" s="13" t="n">
        <v>20</v>
      </c>
      <c r="I440" s="19"/>
      <c r="J440" s="19"/>
      <c r="K440" s="17" t="str">
        <f aca="false">IF(AND(I440&lt;&gt;"",J440&lt;&gt;"",J440&lt;&gt;0),I440/J440,"")</f>
        <v/>
      </c>
      <c r="L440" s="19"/>
      <c r="M440" s="19"/>
      <c r="N440" s="19"/>
      <c r="O440" s="19" t="n">
        <v>1.5</v>
      </c>
      <c r="P440" s="17" t="str">
        <f aca="false">IF(AND(N440&lt;&gt;"",O440&lt;&gt;"",I440&lt;&gt;"",I440&lt;&gt;0),N440/(O440*9.81*I440),"")</f>
        <v/>
      </c>
      <c r="Q440" s="19"/>
      <c r="R440" s="20"/>
    </row>
    <row r="441" customFormat="false" ht="15" hidden="false" customHeight="false" outlineLevel="0" collapsed="false">
      <c r="A441" s="11" t="n">
        <v>437</v>
      </c>
      <c r="B441" s="11" t="n">
        <v>398</v>
      </c>
      <c r="C441" s="11" t="n">
        <v>80</v>
      </c>
      <c r="D441" s="11" t="n">
        <v>3</v>
      </c>
      <c r="E441" s="11" t="n">
        <v>1.5</v>
      </c>
      <c r="F441" s="11" t="s">
        <v>61</v>
      </c>
      <c r="G441" s="11" t="n">
        <v>10</v>
      </c>
      <c r="H441" s="11" t="n">
        <v>10</v>
      </c>
      <c r="I441" s="16"/>
      <c r="J441" s="16"/>
      <c r="K441" s="17" t="str">
        <f aca="false">IF(AND(I441&lt;&gt;"",J441&lt;&gt;"",J441&lt;&gt;0),I441/J441,"")</f>
        <v/>
      </c>
      <c r="L441" s="16"/>
      <c r="M441" s="16"/>
      <c r="N441" s="16"/>
      <c r="O441" s="16" t="n">
        <v>1.5</v>
      </c>
      <c r="P441" s="17" t="str">
        <f aca="false">IF(AND(N441&lt;&gt;"",O441&lt;&gt;"",I441&lt;&gt;"",I441&lt;&gt;0),N441/(O441*9.81*I441),"")</f>
        <v/>
      </c>
      <c r="Q441" s="16"/>
      <c r="R441" s="18"/>
    </row>
    <row r="442" customFormat="false" ht="15" hidden="false" customHeight="false" outlineLevel="0" collapsed="false">
      <c r="A442" s="13" t="n">
        <v>438</v>
      </c>
      <c r="B442" s="13" t="n">
        <v>394</v>
      </c>
      <c r="C442" s="13" t="n">
        <v>79</v>
      </c>
      <c r="D442" s="13" t="n">
        <v>4</v>
      </c>
      <c r="E442" s="13" t="n">
        <v>1.5</v>
      </c>
      <c r="F442" s="13" t="s">
        <v>61</v>
      </c>
      <c r="G442" s="13" t="n">
        <v>10</v>
      </c>
      <c r="H442" s="13" t="n">
        <v>0</v>
      </c>
      <c r="I442" s="19"/>
      <c r="J442" s="19"/>
      <c r="K442" s="17" t="str">
        <f aca="false">IF(AND(I442&lt;&gt;"",J442&lt;&gt;"",J442&lt;&gt;0),I442/J442,"")</f>
        <v/>
      </c>
      <c r="L442" s="19"/>
      <c r="M442" s="19"/>
      <c r="N442" s="19"/>
      <c r="O442" s="19" t="n">
        <v>1.5</v>
      </c>
      <c r="P442" s="17" t="str">
        <f aca="false">IF(AND(N442&lt;&gt;"",O442&lt;&gt;"",I442&lt;&gt;"",I442&lt;&gt;0),N442/(O442*9.81*I442),"")</f>
        <v/>
      </c>
      <c r="Q442" s="19"/>
      <c r="R442" s="20"/>
    </row>
    <row r="443" customFormat="false" ht="15" hidden="false" customHeight="false" outlineLevel="0" collapsed="false">
      <c r="A443" s="11" t="n">
        <v>439</v>
      </c>
      <c r="B443" s="11" t="n">
        <v>432</v>
      </c>
      <c r="C443" s="11" t="n">
        <v>87</v>
      </c>
      <c r="D443" s="11" t="n">
        <v>2</v>
      </c>
      <c r="E443" s="11" t="n">
        <v>2</v>
      </c>
      <c r="F443" s="11" t="s">
        <v>57</v>
      </c>
      <c r="G443" s="11" t="n">
        <v>5</v>
      </c>
      <c r="H443" s="11" t="n">
        <v>20</v>
      </c>
      <c r="I443" s="16"/>
      <c r="J443" s="16"/>
      <c r="K443" s="17" t="str">
        <f aca="false">IF(AND(I443&lt;&gt;"",J443&lt;&gt;"",J443&lt;&gt;0),I443/J443,"")</f>
        <v/>
      </c>
      <c r="L443" s="16"/>
      <c r="M443" s="16"/>
      <c r="N443" s="16"/>
      <c r="O443" s="16" t="n">
        <v>1.5</v>
      </c>
      <c r="P443" s="17" t="str">
        <f aca="false">IF(AND(N443&lt;&gt;"",O443&lt;&gt;"",I443&lt;&gt;"",I443&lt;&gt;0),N443/(O443*9.81*I443),"")</f>
        <v/>
      </c>
      <c r="Q443" s="16"/>
      <c r="R443" s="18"/>
    </row>
    <row r="444" customFormat="false" ht="15" hidden="false" customHeight="false" outlineLevel="0" collapsed="false">
      <c r="A444" s="13" t="n">
        <v>440</v>
      </c>
      <c r="B444" s="13" t="n">
        <v>167</v>
      </c>
      <c r="C444" s="13" t="n">
        <v>34</v>
      </c>
      <c r="D444" s="13" t="n">
        <v>2</v>
      </c>
      <c r="E444" s="13" t="n">
        <v>1</v>
      </c>
      <c r="F444" s="13" t="s">
        <v>57</v>
      </c>
      <c r="G444" s="13" t="n">
        <v>10</v>
      </c>
      <c r="H444" s="13" t="n">
        <v>0</v>
      </c>
      <c r="I444" s="19"/>
      <c r="J444" s="19"/>
      <c r="K444" s="17" t="str">
        <f aca="false">IF(AND(I444&lt;&gt;"",J444&lt;&gt;"",J444&lt;&gt;0),I444/J444,"")</f>
        <v/>
      </c>
      <c r="L444" s="19"/>
      <c r="M444" s="19"/>
      <c r="N444" s="19"/>
      <c r="O444" s="19" t="n">
        <v>1.5</v>
      </c>
      <c r="P444" s="17" t="str">
        <f aca="false">IF(AND(N444&lt;&gt;"",O444&lt;&gt;"",I444&lt;&gt;"",I444&lt;&gt;0),N444/(O444*9.81*I444),"")</f>
        <v/>
      </c>
      <c r="Q444" s="19"/>
      <c r="R444" s="20"/>
    </row>
    <row r="445" customFormat="false" ht="15" hidden="false" customHeight="false" outlineLevel="0" collapsed="false">
      <c r="A445" s="11" t="n">
        <v>441</v>
      </c>
      <c r="B445" s="11" t="n">
        <v>351</v>
      </c>
      <c r="C445" s="11" t="n">
        <v>71</v>
      </c>
      <c r="D445" s="11" t="n">
        <v>1</v>
      </c>
      <c r="E445" s="11" t="n">
        <v>1.5</v>
      </c>
      <c r="F445" s="11" t="s">
        <v>59</v>
      </c>
      <c r="G445" s="11" t="n">
        <v>10</v>
      </c>
      <c r="H445" s="11" t="n">
        <v>10</v>
      </c>
      <c r="I445" s="16"/>
      <c r="J445" s="16"/>
      <c r="K445" s="17" t="str">
        <f aca="false">IF(AND(I445&lt;&gt;"",J445&lt;&gt;"",J445&lt;&gt;0),I445/J445,"")</f>
        <v/>
      </c>
      <c r="L445" s="16"/>
      <c r="M445" s="16"/>
      <c r="N445" s="16"/>
      <c r="O445" s="16" t="n">
        <v>1.5</v>
      </c>
      <c r="P445" s="17" t="str">
        <f aca="false">IF(AND(N445&lt;&gt;"",O445&lt;&gt;"",I445&lt;&gt;"",I445&lt;&gt;0),N445/(O445*9.81*I445),"")</f>
        <v/>
      </c>
      <c r="Q445" s="16"/>
      <c r="R445" s="18"/>
    </row>
    <row r="446" customFormat="false" ht="15" hidden="false" customHeight="false" outlineLevel="0" collapsed="false">
      <c r="A446" s="13" t="n">
        <v>442</v>
      </c>
      <c r="B446" s="13" t="n">
        <v>113</v>
      </c>
      <c r="C446" s="13" t="n">
        <v>23</v>
      </c>
      <c r="D446" s="13" t="n">
        <v>3</v>
      </c>
      <c r="E446" s="13" t="n">
        <v>0.5</v>
      </c>
      <c r="F446" s="13" t="s">
        <v>61</v>
      </c>
      <c r="G446" s="13" t="n">
        <v>5</v>
      </c>
      <c r="H446" s="13" t="n">
        <v>10</v>
      </c>
      <c r="I446" s="19"/>
      <c r="J446" s="19"/>
      <c r="K446" s="17" t="str">
        <f aca="false">IF(AND(I446&lt;&gt;"",J446&lt;&gt;"",J446&lt;&gt;0),I446/J446,"")</f>
        <v/>
      </c>
      <c r="L446" s="19"/>
      <c r="M446" s="19"/>
      <c r="N446" s="19"/>
      <c r="O446" s="19" t="n">
        <v>1.5</v>
      </c>
      <c r="P446" s="17" t="str">
        <f aca="false">IF(AND(N446&lt;&gt;"",O446&lt;&gt;"",I446&lt;&gt;"",I446&lt;&gt;0),N446/(O446*9.81*I446),"")</f>
        <v/>
      </c>
      <c r="Q446" s="19"/>
      <c r="R446" s="20"/>
    </row>
    <row r="447" customFormat="false" ht="15" hidden="false" customHeight="false" outlineLevel="0" collapsed="false">
      <c r="A447" s="11" t="n">
        <v>443</v>
      </c>
      <c r="B447" s="11" t="n">
        <v>286</v>
      </c>
      <c r="C447" s="11" t="n">
        <v>58</v>
      </c>
      <c r="D447" s="11" t="n">
        <v>1</v>
      </c>
      <c r="E447" s="11" t="n">
        <v>1.5</v>
      </c>
      <c r="F447" s="11" t="s">
        <v>57</v>
      </c>
      <c r="G447" s="11" t="n">
        <v>5</v>
      </c>
      <c r="H447" s="11" t="n">
        <v>0</v>
      </c>
      <c r="I447" s="16"/>
      <c r="J447" s="16"/>
      <c r="K447" s="17" t="str">
        <f aca="false">IF(AND(I447&lt;&gt;"",J447&lt;&gt;"",J447&lt;&gt;0),I447/J447,"")</f>
        <v/>
      </c>
      <c r="L447" s="16"/>
      <c r="M447" s="16"/>
      <c r="N447" s="16"/>
      <c r="O447" s="16" t="n">
        <v>1.5</v>
      </c>
      <c r="P447" s="17" t="str">
        <f aca="false">IF(AND(N447&lt;&gt;"",O447&lt;&gt;"",I447&lt;&gt;"",I447&lt;&gt;0),N447/(O447*9.81*I447),"")</f>
        <v/>
      </c>
      <c r="Q447" s="16"/>
      <c r="R447" s="18"/>
    </row>
    <row r="448" customFormat="false" ht="15" hidden="false" customHeight="false" outlineLevel="0" collapsed="false">
      <c r="A448" s="13" t="n">
        <v>444</v>
      </c>
      <c r="B448" s="13" t="n">
        <v>353</v>
      </c>
      <c r="C448" s="13" t="n">
        <v>71</v>
      </c>
      <c r="D448" s="13" t="n">
        <v>3</v>
      </c>
      <c r="E448" s="13" t="n">
        <v>1.5</v>
      </c>
      <c r="F448" s="13" t="s">
        <v>59</v>
      </c>
      <c r="G448" s="13" t="n">
        <v>10</v>
      </c>
      <c r="H448" s="13" t="n">
        <v>10</v>
      </c>
      <c r="I448" s="19"/>
      <c r="J448" s="19"/>
      <c r="K448" s="17" t="str">
        <f aca="false">IF(AND(I448&lt;&gt;"",J448&lt;&gt;"",J448&lt;&gt;0),I448/J448,"")</f>
        <v/>
      </c>
      <c r="L448" s="19"/>
      <c r="M448" s="19"/>
      <c r="N448" s="19"/>
      <c r="O448" s="19" t="n">
        <v>1.5</v>
      </c>
      <c r="P448" s="17" t="str">
        <f aca="false">IF(AND(N448&lt;&gt;"",O448&lt;&gt;"",I448&lt;&gt;"",I448&lt;&gt;0),N448/(O448*9.81*I448),"")</f>
        <v/>
      </c>
      <c r="Q448" s="19"/>
      <c r="R448" s="20"/>
    </row>
    <row r="449" customFormat="false" ht="15" hidden="false" customHeight="false" outlineLevel="0" collapsed="false">
      <c r="A449" s="11" t="n">
        <v>445</v>
      </c>
      <c r="B449" s="11" t="n">
        <v>328</v>
      </c>
      <c r="C449" s="11" t="n">
        <v>66</v>
      </c>
      <c r="D449" s="11" t="n">
        <v>3</v>
      </c>
      <c r="E449" s="11" t="n">
        <v>1.5</v>
      </c>
      <c r="F449" s="11" t="s">
        <v>59</v>
      </c>
      <c r="G449" s="11" t="n">
        <v>2</v>
      </c>
      <c r="H449" s="11" t="n">
        <v>20</v>
      </c>
      <c r="I449" s="16"/>
      <c r="J449" s="16"/>
      <c r="K449" s="17" t="str">
        <f aca="false">IF(AND(I449&lt;&gt;"",J449&lt;&gt;"",J449&lt;&gt;0),I449/J449,"")</f>
        <v/>
      </c>
      <c r="L449" s="16"/>
      <c r="M449" s="16"/>
      <c r="N449" s="16"/>
      <c r="O449" s="16" t="n">
        <v>1.5</v>
      </c>
      <c r="P449" s="17" t="str">
        <f aca="false">IF(AND(N449&lt;&gt;"",O449&lt;&gt;"",I449&lt;&gt;"",I449&lt;&gt;0),N449/(O449*9.81*I449),"")</f>
        <v/>
      </c>
      <c r="Q449" s="16"/>
      <c r="R449" s="18"/>
    </row>
    <row r="450" customFormat="false" ht="15" hidden="false" customHeight="false" outlineLevel="0" collapsed="false">
      <c r="A450" s="13" t="n">
        <v>446</v>
      </c>
      <c r="B450" s="13" t="n">
        <v>139</v>
      </c>
      <c r="C450" s="13" t="n">
        <v>28</v>
      </c>
      <c r="D450" s="13" t="n">
        <v>4</v>
      </c>
      <c r="E450" s="13" t="n">
        <v>1</v>
      </c>
      <c r="F450" s="13" t="s">
        <v>57</v>
      </c>
      <c r="G450" s="13" t="n">
        <v>2</v>
      </c>
      <c r="H450" s="13" t="n">
        <v>0</v>
      </c>
      <c r="I450" s="19"/>
      <c r="J450" s="19"/>
      <c r="K450" s="17" t="str">
        <f aca="false">IF(AND(I450&lt;&gt;"",J450&lt;&gt;"",J450&lt;&gt;0),I450/J450,"")</f>
        <v/>
      </c>
      <c r="L450" s="19"/>
      <c r="M450" s="19"/>
      <c r="N450" s="19"/>
      <c r="O450" s="19" t="n">
        <v>1.5</v>
      </c>
      <c r="P450" s="17" t="str">
        <f aca="false">IF(AND(N450&lt;&gt;"",O450&lt;&gt;"",I450&lt;&gt;"",I450&lt;&gt;0),N450/(O450*9.81*I450),"")</f>
        <v/>
      </c>
      <c r="Q450" s="19"/>
      <c r="R450" s="20"/>
    </row>
    <row r="451" customFormat="false" ht="15" hidden="false" customHeight="false" outlineLevel="0" collapsed="false">
      <c r="A451" s="11" t="n">
        <v>447</v>
      </c>
      <c r="B451" s="11" t="n">
        <v>471</v>
      </c>
      <c r="C451" s="11" t="n">
        <v>95</v>
      </c>
      <c r="D451" s="11" t="n">
        <v>1</v>
      </c>
      <c r="E451" s="11" t="n">
        <v>2</v>
      </c>
      <c r="F451" s="11" t="s">
        <v>59</v>
      </c>
      <c r="G451" s="11" t="n">
        <v>5</v>
      </c>
      <c r="H451" s="11" t="n">
        <v>10</v>
      </c>
      <c r="I451" s="16"/>
      <c r="J451" s="16"/>
      <c r="K451" s="17" t="str">
        <f aca="false">IF(AND(I451&lt;&gt;"",J451&lt;&gt;"",J451&lt;&gt;0),I451/J451,"")</f>
        <v/>
      </c>
      <c r="L451" s="16"/>
      <c r="M451" s="16"/>
      <c r="N451" s="16"/>
      <c r="O451" s="16" t="n">
        <v>1.5</v>
      </c>
      <c r="P451" s="17" t="str">
        <f aca="false">IF(AND(N451&lt;&gt;"",O451&lt;&gt;"",I451&lt;&gt;"",I451&lt;&gt;0),N451/(O451*9.81*I451),"")</f>
        <v/>
      </c>
      <c r="Q451" s="16"/>
      <c r="R451" s="18"/>
    </row>
    <row r="452" customFormat="false" ht="15" hidden="false" customHeight="false" outlineLevel="0" collapsed="false">
      <c r="A452" s="13" t="n">
        <v>448</v>
      </c>
      <c r="B452" s="13" t="n">
        <v>237</v>
      </c>
      <c r="C452" s="13" t="n">
        <v>48</v>
      </c>
      <c r="D452" s="13" t="n">
        <v>2</v>
      </c>
      <c r="E452" s="13" t="n">
        <v>1</v>
      </c>
      <c r="F452" s="13" t="s">
        <v>61</v>
      </c>
      <c r="G452" s="13" t="n">
        <v>2</v>
      </c>
      <c r="H452" s="13" t="n">
        <v>20</v>
      </c>
      <c r="I452" s="19"/>
      <c r="J452" s="19"/>
      <c r="K452" s="17" t="str">
        <f aca="false">IF(AND(I452&lt;&gt;"",J452&lt;&gt;"",J452&lt;&gt;0),I452/J452,"")</f>
        <v/>
      </c>
      <c r="L452" s="19"/>
      <c r="M452" s="19"/>
      <c r="N452" s="19"/>
      <c r="O452" s="19" t="n">
        <v>1.5</v>
      </c>
      <c r="P452" s="17" t="str">
        <f aca="false">IF(AND(N452&lt;&gt;"",O452&lt;&gt;"",I452&lt;&gt;"",I452&lt;&gt;0),N452/(O452*9.81*I452),"")</f>
        <v/>
      </c>
      <c r="Q452" s="19"/>
      <c r="R452" s="20"/>
    </row>
    <row r="453" customFormat="false" ht="15" hidden="false" customHeight="false" outlineLevel="0" collapsed="false">
      <c r="A453" s="11" t="n">
        <v>449</v>
      </c>
      <c r="B453" s="11" t="n">
        <v>465</v>
      </c>
      <c r="C453" s="11" t="n">
        <v>93</v>
      </c>
      <c r="D453" s="11" t="n">
        <v>5</v>
      </c>
      <c r="E453" s="11" t="n">
        <v>2</v>
      </c>
      <c r="F453" s="11" t="s">
        <v>59</v>
      </c>
      <c r="G453" s="11" t="n">
        <v>2</v>
      </c>
      <c r="H453" s="11" t="n">
        <v>20</v>
      </c>
      <c r="I453" s="16"/>
      <c r="J453" s="16"/>
      <c r="K453" s="17" t="str">
        <f aca="false">IF(AND(I453&lt;&gt;"",J453&lt;&gt;"",J453&lt;&gt;0),I453/J453,"")</f>
        <v/>
      </c>
      <c r="L453" s="16"/>
      <c r="M453" s="16"/>
      <c r="N453" s="16"/>
      <c r="O453" s="16" t="n">
        <v>1.5</v>
      </c>
      <c r="P453" s="17" t="str">
        <f aca="false">IF(AND(N453&lt;&gt;"",O453&lt;&gt;"",I453&lt;&gt;"",I453&lt;&gt;0),N453/(O453*9.81*I453),"")</f>
        <v/>
      </c>
      <c r="Q453" s="16"/>
      <c r="R453" s="18"/>
    </row>
    <row r="454" customFormat="false" ht="15" hidden="false" customHeight="false" outlineLevel="0" collapsed="false">
      <c r="A454" s="13" t="n">
        <v>450</v>
      </c>
      <c r="B454" s="13" t="n">
        <v>126</v>
      </c>
      <c r="C454" s="13" t="n">
        <v>26</v>
      </c>
      <c r="D454" s="13" t="n">
        <v>1</v>
      </c>
      <c r="E454" s="13" t="n">
        <v>0.5</v>
      </c>
      <c r="F454" s="13" t="s">
        <v>61</v>
      </c>
      <c r="G454" s="13" t="n">
        <v>10</v>
      </c>
      <c r="H454" s="13" t="n">
        <v>10</v>
      </c>
      <c r="I454" s="19"/>
      <c r="J454" s="19"/>
      <c r="K454" s="17" t="str">
        <f aca="false">IF(AND(I454&lt;&gt;"",J454&lt;&gt;"",J454&lt;&gt;0),I454/J454,"")</f>
        <v/>
      </c>
      <c r="L454" s="19"/>
      <c r="M454" s="19"/>
      <c r="N454" s="19"/>
      <c r="O454" s="19" t="n">
        <v>1.5</v>
      </c>
      <c r="P454" s="17" t="str">
        <f aca="false">IF(AND(N454&lt;&gt;"",O454&lt;&gt;"",I454&lt;&gt;"",I454&lt;&gt;0),N454/(O454*9.81*I454),"")</f>
        <v/>
      </c>
      <c r="Q454" s="19"/>
      <c r="R454" s="20"/>
    </row>
    <row r="455" customFormat="false" ht="15" hidden="false" customHeight="false" outlineLevel="0" collapsed="false">
      <c r="A455" s="11" t="n">
        <v>451</v>
      </c>
      <c r="B455" s="11" t="n">
        <v>500</v>
      </c>
      <c r="C455" s="11" t="n">
        <v>100</v>
      </c>
      <c r="D455" s="11" t="n">
        <v>5</v>
      </c>
      <c r="E455" s="11" t="n">
        <v>2</v>
      </c>
      <c r="F455" s="11" t="s">
        <v>61</v>
      </c>
      <c r="G455" s="11" t="n">
        <v>2</v>
      </c>
      <c r="H455" s="11" t="n">
        <v>0</v>
      </c>
      <c r="I455" s="16"/>
      <c r="J455" s="16"/>
      <c r="K455" s="17" t="str">
        <f aca="false">IF(AND(I455&lt;&gt;"",J455&lt;&gt;"",J455&lt;&gt;0),I455/J455,"")</f>
        <v/>
      </c>
      <c r="L455" s="16"/>
      <c r="M455" s="16"/>
      <c r="N455" s="16"/>
      <c r="O455" s="16" t="n">
        <v>1.5</v>
      </c>
      <c r="P455" s="17" t="str">
        <f aca="false">IF(AND(N455&lt;&gt;"",O455&lt;&gt;"",I455&lt;&gt;"",I455&lt;&gt;0),N455/(O455*9.81*I455),"")</f>
        <v/>
      </c>
      <c r="Q455" s="16"/>
      <c r="R455" s="18"/>
    </row>
    <row r="456" customFormat="false" ht="15" hidden="false" customHeight="false" outlineLevel="0" collapsed="false">
      <c r="A456" s="13" t="n">
        <v>452</v>
      </c>
      <c r="B456" s="13" t="n">
        <v>274</v>
      </c>
      <c r="C456" s="13" t="n">
        <v>55</v>
      </c>
      <c r="D456" s="13" t="n">
        <v>4</v>
      </c>
      <c r="E456" s="13" t="n">
        <v>1.5</v>
      </c>
      <c r="F456" s="13" t="s">
        <v>57</v>
      </c>
      <c r="G456" s="13" t="n">
        <v>2</v>
      </c>
      <c r="H456" s="13" t="n">
        <v>0</v>
      </c>
      <c r="I456" s="19"/>
      <c r="J456" s="19"/>
      <c r="K456" s="17" t="str">
        <f aca="false">IF(AND(I456&lt;&gt;"",J456&lt;&gt;"",J456&lt;&gt;0),I456/J456,"")</f>
        <v/>
      </c>
      <c r="L456" s="19"/>
      <c r="M456" s="19"/>
      <c r="N456" s="19"/>
      <c r="O456" s="19" t="n">
        <v>1.5</v>
      </c>
      <c r="P456" s="17" t="str">
        <f aca="false">IF(AND(N456&lt;&gt;"",O456&lt;&gt;"",I456&lt;&gt;"",I456&lt;&gt;0),N456/(O456*9.81*I456),"")</f>
        <v/>
      </c>
      <c r="Q456" s="19"/>
      <c r="R456" s="20"/>
    </row>
    <row r="457" customFormat="false" ht="15" hidden="false" customHeight="false" outlineLevel="0" collapsed="false">
      <c r="A457" s="11" t="n">
        <v>453</v>
      </c>
      <c r="B457" s="11" t="n">
        <v>88</v>
      </c>
      <c r="C457" s="11" t="n">
        <v>18</v>
      </c>
      <c r="D457" s="11" t="n">
        <v>3</v>
      </c>
      <c r="E457" s="11" t="n">
        <v>0.5</v>
      </c>
      <c r="F457" s="11" t="s">
        <v>59</v>
      </c>
      <c r="G457" s="11" t="n">
        <v>10</v>
      </c>
      <c r="H457" s="11" t="n">
        <v>20</v>
      </c>
      <c r="I457" s="16"/>
      <c r="J457" s="16"/>
      <c r="K457" s="17" t="str">
        <f aca="false">IF(AND(I457&lt;&gt;"",J457&lt;&gt;"",J457&lt;&gt;0),I457/J457,"")</f>
        <v/>
      </c>
      <c r="L457" s="16"/>
      <c r="M457" s="16"/>
      <c r="N457" s="16"/>
      <c r="O457" s="16" t="n">
        <v>1.5</v>
      </c>
      <c r="P457" s="17" t="str">
        <f aca="false">IF(AND(N457&lt;&gt;"",O457&lt;&gt;"",I457&lt;&gt;"",I457&lt;&gt;0),N457/(O457*9.81*I457),"")</f>
        <v/>
      </c>
      <c r="Q457" s="16"/>
      <c r="R457" s="18"/>
    </row>
    <row r="458" customFormat="false" ht="15" hidden="false" customHeight="false" outlineLevel="0" collapsed="false">
      <c r="A458" s="13" t="n">
        <v>454</v>
      </c>
      <c r="B458" s="13" t="n">
        <v>468</v>
      </c>
      <c r="C458" s="13" t="n">
        <v>94</v>
      </c>
      <c r="D458" s="13" t="n">
        <v>3</v>
      </c>
      <c r="E458" s="13" t="n">
        <v>2</v>
      </c>
      <c r="F458" s="13" t="s">
        <v>59</v>
      </c>
      <c r="G458" s="13" t="n">
        <v>5</v>
      </c>
      <c r="H458" s="13" t="n">
        <v>0</v>
      </c>
      <c r="I458" s="19"/>
      <c r="J458" s="19"/>
      <c r="K458" s="17" t="str">
        <f aca="false">IF(AND(I458&lt;&gt;"",J458&lt;&gt;"",J458&lt;&gt;0),I458/J458,"")</f>
        <v/>
      </c>
      <c r="L458" s="19"/>
      <c r="M458" s="19"/>
      <c r="N458" s="19"/>
      <c r="O458" s="19" t="n">
        <v>1.5</v>
      </c>
      <c r="P458" s="17" t="str">
        <f aca="false">IF(AND(N458&lt;&gt;"",O458&lt;&gt;"",I458&lt;&gt;"",I458&lt;&gt;0),N458/(O458*9.81*I458),"")</f>
        <v/>
      </c>
      <c r="Q458" s="19"/>
      <c r="R458" s="20"/>
    </row>
    <row r="459" customFormat="false" ht="15" hidden="false" customHeight="false" outlineLevel="0" collapsed="false">
      <c r="A459" s="11" t="n">
        <v>455</v>
      </c>
      <c r="B459" s="11" t="n">
        <v>312</v>
      </c>
      <c r="C459" s="11" t="n">
        <v>63</v>
      </c>
      <c r="D459" s="11" t="n">
        <v>2</v>
      </c>
      <c r="E459" s="11" t="n">
        <v>1.5</v>
      </c>
      <c r="F459" s="11" t="s">
        <v>57</v>
      </c>
      <c r="G459" s="11" t="n">
        <v>10</v>
      </c>
      <c r="H459" s="11" t="n">
        <v>20</v>
      </c>
      <c r="I459" s="16"/>
      <c r="J459" s="16"/>
      <c r="K459" s="17" t="str">
        <f aca="false">IF(AND(I459&lt;&gt;"",J459&lt;&gt;"",J459&lt;&gt;0),I459/J459,"")</f>
        <v/>
      </c>
      <c r="L459" s="16"/>
      <c r="M459" s="16"/>
      <c r="N459" s="16"/>
      <c r="O459" s="16" t="n">
        <v>1.5</v>
      </c>
      <c r="P459" s="17" t="str">
        <f aca="false">IF(AND(N459&lt;&gt;"",O459&lt;&gt;"",I459&lt;&gt;"",I459&lt;&gt;0),N459/(O459*9.81*I459),"")</f>
        <v/>
      </c>
      <c r="Q459" s="16"/>
      <c r="R459" s="18"/>
    </row>
    <row r="460" customFormat="false" ht="15" hidden="false" customHeight="false" outlineLevel="0" collapsed="false">
      <c r="A460" s="13" t="n">
        <v>456</v>
      </c>
      <c r="B460" s="13" t="n">
        <v>37</v>
      </c>
      <c r="C460" s="13" t="n">
        <v>8</v>
      </c>
      <c r="D460" s="13" t="n">
        <v>2</v>
      </c>
      <c r="E460" s="13" t="n">
        <v>0.5</v>
      </c>
      <c r="F460" s="13" t="s">
        <v>57</v>
      </c>
      <c r="G460" s="13" t="n">
        <v>10</v>
      </c>
      <c r="H460" s="13" t="n">
        <v>10</v>
      </c>
      <c r="I460" s="19"/>
      <c r="J460" s="19"/>
      <c r="K460" s="17" t="str">
        <f aca="false">IF(AND(I460&lt;&gt;"",J460&lt;&gt;"",J460&lt;&gt;0),I460/J460,"")</f>
        <v/>
      </c>
      <c r="L460" s="19"/>
      <c r="M460" s="19"/>
      <c r="N460" s="19"/>
      <c r="O460" s="19" t="n">
        <v>1.5</v>
      </c>
      <c r="P460" s="17" t="str">
        <f aca="false">IF(AND(N460&lt;&gt;"",O460&lt;&gt;"",I460&lt;&gt;"",I460&lt;&gt;0),N460/(O460*9.81*I460),"")</f>
        <v/>
      </c>
      <c r="Q460" s="19"/>
      <c r="R460" s="20"/>
    </row>
    <row r="461" customFormat="false" ht="15" hidden="false" customHeight="false" outlineLevel="0" collapsed="false">
      <c r="A461" s="11" t="n">
        <v>457</v>
      </c>
      <c r="B461" s="11" t="n">
        <v>332</v>
      </c>
      <c r="C461" s="11" t="n">
        <v>67</v>
      </c>
      <c r="D461" s="11" t="n">
        <v>2</v>
      </c>
      <c r="E461" s="11" t="n">
        <v>1.5</v>
      </c>
      <c r="F461" s="11" t="s">
        <v>59</v>
      </c>
      <c r="G461" s="11" t="n">
        <v>5</v>
      </c>
      <c r="H461" s="11" t="n">
        <v>0</v>
      </c>
      <c r="I461" s="16"/>
      <c r="J461" s="16"/>
      <c r="K461" s="17" t="str">
        <f aca="false">IF(AND(I461&lt;&gt;"",J461&lt;&gt;"",J461&lt;&gt;0),I461/J461,"")</f>
        <v/>
      </c>
      <c r="L461" s="16"/>
      <c r="M461" s="16"/>
      <c r="N461" s="16"/>
      <c r="O461" s="16" t="n">
        <v>1.5</v>
      </c>
      <c r="P461" s="17" t="str">
        <f aca="false">IF(AND(N461&lt;&gt;"",O461&lt;&gt;"",I461&lt;&gt;"",I461&lt;&gt;0),N461/(O461*9.81*I461),"")</f>
        <v/>
      </c>
      <c r="Q461" s="16"/>
      <c r="R461" s="18"/>
    </row>
    <row r="462" customFormat="false" ht="15" hidden="false" customHeight="false" outlineLevel="0" collapsed="false">
      <c r="A462" s="13" t="n">
        <v>458</v>
      </c>
      <c r="B462" s="13" t="n">
        <v>350</v>
      </c>
      <c r="C462" s="13" t="n">
        <v>70</v>
      </c>
      <c r="D462" s="13" t="n">
        <v>5</v>
      </c>
      <c r="E462" s="13" t="n">
        <v>1.5</v>
      </c>
      <c r="F462" s="13" t="s">
        <v>59</v>
      </c>
      <c r="G462" s="13" t="n">
        <v>10</v>
      </c>
      <c r="H462" s="13" t="n">
        <v>0</v>
      </c>
      <c r="I462" s="19"/>
      <c r="J462" s="19"/>
      <c r="K462" s="17" t="str">
        <f aca="false">IF(AND(I462&lt;&gt;"",J462&lt;&gt;"",J462&lt;&gt;0),I462/J462,"")</f>
        <v/>
      </c>
      <c r="L462" s="19"/>
      <c r="M462" s="19"/>
      <c r="N462" s="19"/>
      <c r="O462" s="19" t="n">
        <v>1.5</v>
      </c>
      <c r="P462" s="17" t="str">
        <f aca="false">IF(AND(N462&lt;&gt;"",O462&lt;&gt;"",I462&lt;&gt;"",I462&lt;&gt;0),N462/(O462*9.81*I462),"")</f>
        <v/>
      </c>
      <c r="Q462" s="19"/>
      <c r="R462" s="20"/>
    </row>
    <row r="463" customFormat="false" ht="15" hidden="false" customHeight="false" outlineLevel="0" collapsed="false">
      <c r="A463" s="11" t="n">
        <v>459</v>
      </c>
      <c r="B463" s="11" t="n">
        <v>360</v>
      </c>
      <c r="C463" s="11" t="n">
        <v>72</v>
      </c>
      <c r="D463" s="11" t="n">
        <v>5</v>
      </c>
      <c r="E463" s="11" t="n">
        <v>1.5</v>
      </c>
      <c r="F463" s="11" t="s">
        <v>59</v>
      </c>
      <c r="G463" s="11" t="n">
        <v>10</v>
      </c>
      <c r="H463" s="11" t="n">
        <v>20</v>
      </c>
      <c r="I463" s="16"/>
      <c r="J463" s="16"/>
      <c r="K463" s="17" t="str">
        <f aca="false">IF(AND(I463&lt;&gt;"",J463&lt;&gt;"",J463&lt;&gt;0),I463/J463,"")</f>
        <v/>
      </c>
      <c r="L463" s="16"/>
      <c r="M463" s="16"/>
      <c r="N463" s="16"/>
      <c r="O463" s="16" t="n">
        <v>1.5</v>
      </c>
      <c r="P463" s="17" t="str">
        <f aca="false">IF(AND(N463&lt;&gt;"",O463&lt;&gt;"",I463&lt;&gt;"",I463&lt;&gt;0),N463/(O463*9.81*I463),"")</f>
        <v/>
      </c>
      <c r="Q463" s="16"/>
      <c r="R463" s="18"/>
    </row>
    <row r="464" customFormat="false" ht="15" hidden="false" customHeight="false" outlineLevel="0" collapsed="false">
      <c r="A464" s="13" t="n">
        <v>460</v>
      </c>
      <c r="B464" s="13" t="n">
        <v>137</v>
      </c>
      <c r="C464" s="13" t="n">
        <v>28</v>
      </c>
      <c r="D464" s="13" t="n">
        <v>2</v>
      </c>
      <c r="E464" s="13" t="n">
        <v>1</v>
      </c>
      <c r="F464" s="13" t="s">
        <v>57</v>
      </c>
      <c r="G464" s="13" t="n">
        <v>2</v>
      </c>
      <c r="H464" s="13" t="n">
        <v>0</v>
      </c>
      <c r="I464" s="19"/>
      <c r="J464" s="19"/>
      <c r="K464" s="17" t="str">
        <f aca="false">IF(AND(I464&lt;&gt;"",J464&lt;&gt;"",J464&lt;&gt;0),I464/J464,"")</f>
        <v/>
      </c>
      <c r="L464" s="19"/>
      <c r="M464" s="19"/>
      <c r="N464" s="19"/>
      <c r="O464" s="19" t="n">
        <v>1.5</v>
      </c>
      <c r="P464" s="17" t="str">
        <f aca="false">IF(AND(N464&lt;&gt;"",O464&lt;&gt;"",I464&lt;&gt;"",I464&lt;&gt;0),N464/(O464*9.81*I464),"")</f>
        <v/>
      </c>
      <c r="Q464" s="19"/>
      <c r="R464" s="20"/>
    </row>
    <row r="465" customFormat="false" ht="15" hidden="false" customHeight="false" outlineLevel="0" collapsed="false">
      <c r="A465" s="11" t="n">
        <v>461</v>
      </c>
      <c r="B465" s="11" t="n">
        <v>344</v>
      </c>
      <c r="C465" s="11" t="n">
        <v>69</v>
      </c>
      <c r="D465" s="11" t="n">
        <v>4</v>
      </c>
      <c r="E465" s="11" t="n">
        <v>1.5</v>
      </c>
      <c r="F465" s="11" t="s">
        <v>59</v>
      </c>
      <c r="G465" s="11" t="n">
        <v>5</v>
      </c>
      <c r="H465" s="11" t="n">
        <v>20</v>
      </c>
      <c r="I465" s="16"/>
      <c r="J465" s="16"/>
      <c r="K465" s="17" t="str">
        <f aca="false">IF(AND(I465&lt;&gt;"",J465&lt;&gt;"",J465&lt;&gt;0),I465/J465,"")</f>
        <v/>
      </c>
      <c r="L465" s="16"/>
      <c r="M465" s="16"/>
      <c r="N465" s="16"/>
      <c r="O465" s="16" t="n">
        <v>1.5</v>
      </c>
      <c r="P465" s="17" t="str">
        <f aca="false">IF(AND(N465&lt;&gt;"",O465&lt;&gt;"",I465&lt;&gt;"",I465&lt;&gt;0),N465/(O465*9.81*I465),"")</f>
        <v/>
      </c>
      <c r="Q465" s="16"/>
      <c r="R465" s="18"/>
    </row>
    <row r="466" customFormat="false" ht="15" hidden="false" customHeight="false" outlineLevel="0" collapsed="false">
      <c r="A466" s="13" t="n">
        <v>462</v>
      </c>
      <c r="B466" s="13" t="n">
        <v>108</v>
      </c>
      <c r="C466" s="13" t="n">
        <v>22</v>
      </c>
      <c r="D466" s="13" t="n">
        <v>3</v>
      </c>
      <c r="E466" s="13" t="n">
        <v>0.5</v>
      </c>
      <c r="F466" s="13" t="s">
        <v>61</v>
      </c>
      <c r="G466" s="13" t="n">
        <v>5</v>
      </c>
      <c r="H466" s="13" t="n">
        <v>0</v>
      </c>
      <c r="I466" s="19"/>
      <c r="J466" s="19"/>
      <c r="K466" s="17" t="str">
        <f aca="false">IF(AND(I466&lt;&gt;"",J466&lt;&gt;"",J466&lt;&gt;0),I466/J466,"")</f>
        <v/>
      </c>
      <c r="L466" s="19"/>
      <c r="M466" s="19"/>
      <c r="N466" s="19"/>
      <c r="O466" s="19" t="n">
        <v>1.5</v>
      </c>
      <c r="P466" s="17" t="str">
        <f aca="false">IF(AND(N466&lt;&gt;"",O466&lt;&gt;"",I466&lt;&gt;"",I466&lt;&gt;0),N466/(O466*9.81*I466),"")</f>
        <v/>
      </c>
      <c r="Q466" s="19"/>
      <c r="R466" s="20"/>
    </row>
    <row r="467" customFormat="false" ht="15" hidden="false" customHeight="false" outlineLevel="0" collapsed="false">
      <c r="A467" s="11" t="n">
        <v>463</v>
      </c>
      <c r="B467" s="11" t="n">
        <v>182</v>
      </c>
      <c r="C467" s="11" t="n">
        <v>37</v>
      </c>
      <c r="D467" s="11" t="n">
        <v>2</v>
      </c>
      <c r="E467" s="11" t="n">
        <v>1</v>
      </c>
      <c r="F467" s="11" t="s">
        <v>59</v>
      </c>
      <c r="G467" s="11" t="n">
        <v>2</v>
      </c>
      <c r="H467" s="11" t="n">
        <v>0</v>
      </c>
      <c r="I467" s="16"/>
      <c r="J467" s="16"/>
      <c r="K467" s="17" t="str">
        <f aca="false">IF(AND(I467&lt;&gt;"",J467&lt;&gt;"",J467&lt;&gt;0),I467/J467,"")</f>
        <v/>
      </c>
      <c r="L467" s="16"/>
      <c r="M467" s="16"/>
      <c r="N467" s="16"/>
      <c r="O467" s="16" t="n">
        <v>1.5</v>
      </c>
      <c r="P467" s="17" t="str">
        <f aca="false">IF(AND(N467&lt;&gt;"",O467&lt;&gt;"",I467&lt;&gt;"",I467&lt;&gt;0),N467/(O467*9.81*I467),"")</f>
        <v/>
      </c>
      <c r="Q467" s="16"/>
      <c r="R467" s="18"/>
    </row>
    <row r="468" customFormat="false" ht="15" hidden="false" customHeight="false" outlineLevel="0" collapsed="false">
      <c r="A468" s="13" t="n">
        <v>464</v>
      </c>
      <c r="B468" s="13" t="n">
        <v>190</v>
      </c>
      <c r="C468" s="13" t="n">
        <v>38</v>
      </c>
      <c r="D468" s="13" t="n">
        <v>5</v>
      </c>
      <c r="E468" s="13" t="n">
        <v>1</v>
      </c>
      <c r="F468" s="13" t="s">
        <v>59</v>
      </c>
      <c r="G468" s="13" t="n">
        <v>2</v>
      </c>
      <c r="H468" s="13" t="n">
        <v>10</v>
      </c>
      <c r="I468" s="19"/>
      <c r="J468" s="19"/>
      <c r="K468" s="17" t="str">
        <f aca="false">IF(AND(I468&lt;&gt;"",J468&lt;&gt;"",J468&lt;&gt;0),I468/J468,"")</f>
        <v/>
      </c>
      <c r="L468" s="19"/>
      <c r="M468" s="19"/>
      <c r="N468" s="19"/>
      <c r="O468" s="19" t="n">
        <v>1.5</v>
      </c>
      <c r="P468" s="17" t="str">
        <f aca="false">IF(AND(N468&lt;&gt;"",O468&lt;&gt;"",I468&lt;&gt;"",I468&lt;&gt;0),N468/(O468*9.81*I468),"")</f>
        <v/>
      </c>
      <c r="Q468" s="19"/>
      <c r="R468" s="20"/>
    </row>
    <row r="469" customFormat="false" ht="15" hidden="false" customHeight="false" outlineLevel="0" collapsed="false">
      <c r="A469" s="11" t="n">
        <v>465</v>
      </c>
      <c r="B469" s="11" t="n">
        <v>84</v>
      </c>
      <c r="C469" s="11" t="n">
        <v>17</v>
      </c>
      <c r="D469" s="11" t="n">
        <v>4</v>
      </c>
      <c r="E469" s="11" t="n">
        <v>0.5</v>
      </c>
      <c r="F469" s="11" t="s">
        <v>59</v>
      </c>
      <c r="G469" s="11" t="n">
        <v>10</v>
      </c>
      <c r="H469" s="11" t="n">
        <v>10</v>
      </c>
      <c r="I469" s="16"/>
      <c r="J469" s="16"/>
      <c r="K469" s="17" t="str">
        <f aca="false">IF(AND(I469&lt;&gt;"",J469&lt;&gt;"",J469&lt;&gt;0),I469/J469,"")</f>
        <v/>
      </c>
      <c r="L469" s="16"/>
      <c r="M469" s="16"/>
      <c r="N469" s="16"/>
      <c r="O469" s="16" t="n">
        <v>1.5</v>
      </c>
      <c r="P469" s="17" t="str">
        <f aca="false">IF(AND(N469&lt;&gt;"",O469&lt;&gt;"",I469&lt;&gt;"",I469&lt;&gt;0),N469/(O469*9.81*I469),"")</f>
        <v/>
      </c>
      <c r="Q469" s="16"/>
      <c r="R469" s="18"/>
    </row>
    <row r="470" customFormat="false" ht="15" hidden="false" customHeight="false" outlineLevel="0" collapsed="false">
      <c r="A470" s="13" t="n">
        <v>466</v>
      </c>
      <c r="B470" s="13" t="n">
        <v>187</v>
      </c>
      <c r="C470" s="13" t="n">
        <v>38</v>
      </c>
      <c r="D470" s="13" t="n">
        <v>2</v>
      </c>
      <c r="E470" s="13" t="n">
        <v>1</v>
      </c>
      <c r="F470" s="13" t="s">
        <v>59</v>
      </c>
      <c r="G470" s="13" t="n">
        <v>2</v>
      </c>
      <c r="H470" s="13" t="n">
        <v>10</v>
      </c>
      <c r="I470" s="19"/>
      <c r="J470" s="19"/>
      <c r="K470" s="17" t="str">
        <f aca="false">IF(AND(I470&lt;&gt;"",J470&lt;&gt;"",J470&lt;&gt;0),I470/J470,"")</f>
        <v/>
      </c>
      <c r="L470" s="19"/>
      <c r="M470" s="19"/>
      <c r="N470" s="19"/>
      <c r="O470" s="19" t="n">
        <v>1.5</v>
      </c>
      <c r="P470" s="17" t="str">
        <f aca="false">IF(AND(N470&lt;&gt;"",O470&lt;&gt;"",I470&lt;&gt;"",I470&lt;&gt;0),N470/(O470*9.81*I470),"")</f>
        <v/>
      </c>
      <c r="Q470" s="19"/>
      <c r="R470" s="20"/>
    </row>
    <row r="471" customFormat="false" ht="15" hidden="false" customHeight="false" outlineLevel="0" collapsed="false">
      <c r="A471" s="11" t="n">
        <v>467</v>
      </c>
      <c r="B471" s="11" t="n">
        <v>428</v>
      </c>
      <c r="C471" s="11" t="n">
        <v>86</v>
      </c>
      <c r="D471" s="11" t="n">
        <v>3</v>
      </c>
      <c r="E471" s="11" t="n">
        <v>2</v>
      </c>
      <c r="F471" s="11" t="s">
        <v>57</v>
      </c>
      <c r="G471" s="11" t="n">
        <v>5</v>
      </c>
      <c r="H471" s="11" t="n">
        <v>10</v>
      </c>
      <c r="I471" s="16"/>
      <c r="J471" s="16"/>
      <c r="K471" s="17" t="str">
        <f aca="false">IF(AND(I471&lt;&gt;"",J471&lt;&gt;"",J471&lt;&gt;0),I471/J471,"")</f>
        <v/>
      </c>
      <c r="L471" s="16"/>
      <c r="M471" s="16"/>
      <c r="N471" s="16"/>
      <c r="O471" s="16" t="n">
        <v>1.5</v>
      </c>
      <c r="P471" s="17" t="str">
        <f aca="false">IF(AND(N471&lt;&gt;"",O471&lt;&gt;"",I471&lt;&gt;"",I471&lt;&gt;0),N471/(O471*9.81*I471),"")</f>
        <v/>
      </c>
      <c r="Q471" s="16"/>
      <c r="R471" s="18"/>
    </row>
    <row r="472" customFormat="false" ht="15" hidden="false" customHeight="false" outlineLevel="0" collapsed="false">
      <c r="A472" s="13" t="n">
        <v>468</v>
      </c>
      <c r="B472" s="13" t="n">
        <v>326</v>
      </c>
      <c r="C472" s="13" t="n">
        <v>66</v>
      </c>
      <c r="D472" s="13" t="n">
        <v>1</v>
      </c>
      <c r="E472" s="13" t="n">
        <v>1.5</v>
      </c>
      <c r="F472" s="13" t="s">
        <v>59</v>
      </c>
      <c r="G472" s="13" t="n">
        <v>2</v>
      </c>
      <c r="H472" s="13" t="n">
        <v>20</v>
      </c>
      <c r="I472" s="19"/>
      <c r="J472" s="19"/>
      <c r="K472" s="17" t="str">
        <f aca="false">IF(AND(I472&lt;&gt;"",J472&lt;&gt;"",J472&lt;&gt;0),I472/J472,"")</f>
        <v/>
      </c>
      <c r="L472" s="19"/>
      <c r="M472" s="19"/>
      <c r="N472" s="19"/>
      <c r="O472" s="19" t="n">
        <v>1.5</v>
      </c>
      <c r="P472" s="17" t="str">
        <f aca="false">IF(AND(N472&lt;&gt;"",O472&lt;&gt;"",I472&lt;&gt;"",I472&lt;&gt;0),N472/(O472*9.81*I472),"")</f>
        <v/>
      </c>
      <c r="Q472" s="19"/>
      <c r="R472" s="20"/>
    </row>
    <row r="473" customFormat="false" ht="15" hidden="false" customHeight="false" outlineLevel="0" collapsed="false">
      <c r="A473" s="11" t="n">
        <v>469</v>
      </c>
      <c r="B473" s="11" t="n">
        <v>233</v>
      </c>
      <c r="C473" s="11" t="n">
        <v>47</v>
      </c>
      <c r="D473" s="11" t="n">
        <v>3</v>
      </c>
      <c r="E473" s="11" t="n">
        <v>1</v>
      </c>
      <c r="F473" s="11" t="s">
        <v>61</v>
      </c>
      <c r="G473" s="11" t="n">
        <v>2</v>
      </c>
      <c r="H473" s="11" t="n">
        <v>10</v>
      </c>
      <c r="I473" s="16"/>
      <c r="J473" s="16"/>
      <c r="K473" s="17" t="str">
        <f aca="false">IF(AND(I473&lt;&gt;"",J473&lt;&gt;"",J473&lt;&gt;0),I473/J473,"")</f>
        <v/>
      </c>
      <c r="L473" s="16"/>
      <c r="M473" s="16"/>
      <c r="N473" s="16"/>
      <c r="O473" s="16" t="n">
        <v>1.5</v>
      </c>
      <c r="P473" s="17" t="str">
        <f aca="false">IF(AND(N473&lt;&gt;"",O473&lt;&gt;"",I473&lt;&gt;"",I473&lt;&gt;0),N473/(O473*9.81*I473),"")</f>
        <v/>
      </c>
      <c r="Q473" s="16"/>
      <c r="R473" s="18"/>
    </row>
    <row r="474" customFormat="false" ht="15" hidden="false" customHeight="false" outlineLevel="0" collapsed="false">
      <c r="A474" s="13" t="n">
        <v>470</v>
      </c>
      <c r="B474" s="13" t="n">
        <v>535</v>
      </c>
      <c r="C474" s="13" t="n">
        <v>107</v>
      </c>
      <c r="D474" s="13" t="n">
        <v>5</v>
      </c>
      <c r="E474" s="13" t="n">
        <v>2</v>
      </c>
      <c r="F474" s="13" t="s">
        <v>61</v>
      </c>
      <c r="G474" s="13" t="n">
        <v>10</v>
      </c>
      <c r="H474" s="13" t="n">
        <v>10</v>
      </c>
      <c r="I474" s="19"/>
      <c r="J474" s="19"/>
      <c r="K474" s="17" t="str">
        <f aca="false">IF(AND(I474&lt;&gt;"",J474&lt;&gt;"",J474&lt;&gt;0),I474/J474,"")</f>
        <v/>
      </c>
      <c r="L474" s="19"/>
      <c r="M474" s="19"/>
      <c r="N474" s="19"/>
      <c r="O474" s="19" t="n">
        <v>1.5</v>
      </c>
      <c r="P474" s="17" t="str">
        <f aca="false">IF(AND(N474&lt;&gt;"",O474&lt;&gt;"",I474&lt;&gt;"",I474&lt;&gt;0),N474/(O474*9.81*I474),"")</f>
        <v/>
      </c>
      <c r="Q474" s="19"/>
      <c r="R474" s="20"/>
    </row>
    <row r="475" customFormat="false" ht="15" hidden="false" customHeight="false" outlineLevel="0" collapsed="false">
      <c r="A475" s="11" t="n">
        <v>471</v>
      </c>
      <c r="B475" s="11" t="n">
        <v>509</v>
      </c>
      <c r="C475" s="11" t="n">
        <v>102</v>
      </c>
      <c r="D475" s="11" t="n">
        <v>4</v>
      </c>
      <c r="E475" s="11" t="n">
        <v>2</v>
      </c>
      <c r="F475" s="11" t="s">
        <v>61</v>
      </c>
      <c r="G475" s="11" t="n">
        <v>2</v>
      </c>
      <c r="H475" s="11" t="n">
        <v>20</v>
      </c>
      <c r="I475" s="16"/>
      <c r="J475" s="16"/>
      <c r="K475" s="17" t="str">
        <f aca="false">IF(AND(I475&lt;&gt;"",J475&lt;&gt;"",J475&lt;&gt;0),I475/J475,"")</f>
        <v/>
      </c>
      <c r="L475" s="16"/>
      <c r="M475" s="16"/>
      <c r="N475" s="16"/>
      <c r="O475" s="16" t="n">
        <v>1.5</v>
      </c>
      <c r="P475" s="17" t="str">
        <f aca="false">IF(AND(N475&lt;&gt;"",O475&lt;&gt;"",I475&lt;&gt;"",I475&lt;&gt;0),N475/(O475*9.81*I475),"")</f>
        <v/>
      </c>
      <c r="Q475" s="16"/>
      <c r="R475" s="18"/>
    </row>
    <row r="476" customFormat="false" ht="15" hidden="false" customHeight="false" outlineLevel="0" collapsed="false">
      <c r="A476" s="13" t="n">
        <v>472</v>
      </c>
      <c r="B476" s="13" t="n">
        <v>52</v>
      </c>
      <c r="C476" s="13" t="n">
        <v>11</v>
      </c>
      <c r="D476" s="13" t="n">
        <v>2</v>
      </c>
      <c r="E476" s="13" t="n">
        <v>0.5</v>
      </c>
      <c r="F476" s="13" t="s">
        <v>59</v>
      </c>
      <c r="G476" s="13" t="n">
        <v>2</v>
      </c>
      <c r="H476" s="13" t="n">
        <v>10</v>
      </c>
      <c r="I476" s="19"/>
      <c r="J476" s="19"/>
      <c r="K476" s="17" t="str">
        <f aca="false">IF(AND(I476&lt;&gt;"",J476&lt;&gt;"",J476&lt;&gt;0),I476/J476,"")</f>
        <v/>
      </c>
      <c r="L476" s="19"/>
      <c r="M476" s="19"/>
      <c r="N476" s="19"/>
      <c r="O476" s="19" t="n">
        <v>1.5</v>
      </c>
      <c r="P476" s="17" t="str">
        <f aca="false">IF(AND(N476&lt;&gt;"",O476&lt;&gt;"",I476&lt;&gt;"",I476&lt;&gt;0),N476/(O476*9.81*I476),"")</f>
        <v/>
      </c>
      <c r="Q476" s="19"/>
      <c r="R476" s="20"/>
    </row>
    <row r="477" customFormat="false" ht="15" hidden="false" customHeight="false" outlineLevel="0" collapsed="false">
      <c r="A477" s="11" t="n">
        <v>473</v>
      </c>
      <c r="B477" s="11" t="n">
        <v>444</v>
      </c>
      <c r="C477" s="11" t="n">
        <v>89</v>
      </c>
      <c r="D477" s="11" t="n">
        <v>4</v>
      </c>
      <c r="E477" s="11" t="n">
        <v>2</v>
      </c>
      <c r="F477" s="11" t="s">
        <v>57</v>
      </c>
      <c r="G477" s="11" t="n">
        <v>10</v>
      </c>
      <c r="H477" s="11" t="n">
        <v>10</v>
      </c>
      <c r="I477" s="16"/>
      <c r="J477" s="16"/>
      <c r="K477" s="17" t="str">
        <f aca="false">IF(AND(I477&lt;&gt;"",J477&lt;&gt;"",J477&lt;&gt;0),I477/J477,"")</f>
        <v/>
      </c>
      <c r="L477" s="16"/>
      <c r="M477" s="16"/>
      <c r="N477" s="16"/>
      <c r="O477" s="16" t="n">
        <v>1.5</v>
      </c>
      <c r="P477" s="17" t="str">
        <f aca="false">IF(AND(N477&lt;&gt;"",O477&lt;&gt;"",I477&lt;&gt;"",I477&lt;&gt;0),N477/(O477*9.81*I477),"")</f>
        <v/>
      </c>
      <c r="Q477" s="16"/>
      <c r="R477" s="18"/>
    </row>
    <row r="478" customFormat="false" ht="15" hidden="false" customHeight="false" outlineLevel="0" collapsed="false">
      <c r="A478" s="13" t="n">
        <v>474</v>
      </c>
      <c r="B478" s="13" t="n">
        <v>120</v>
      </c>
      <c r="C478" s="13" t="n">
        <v>24</v>
      </c>
      <c r="D478" s="13" t="n">
        <v>5</v>
      </c>
      <c r="E478" s="13" t="n">
        <v>0.5</v>
      </c>
      <c r="F478" s="13" t="s">
        <v>61</v>
      </c>
      <c r="G478" s="13" t="n">
        <v>5</v>
      </c>
      <c r="H478" s="13" t="n">
        <v>20</v>
      </c>
      <c r="I478" s="19"/>
      <c r="J478" s="19"/>
      <c r="K478" s="17" t="str">
        <f aca="false">IF(AND(I478&lt;&gt;"",J478&lt;&gt;"",J478&lt;&gt;0),I478/J478,"")</f>
        <v/>
      </c>
      <c r="L478" s="19"/>
      <c r="M478" s="19"/>
      <c r="N478" s="19"/>
      <c r="O478" s="19" t="n">
        <v>1.5</v>
      </c>
      <c r="P478" s="17" t="str">
        <f aca="false">IF(AND(N478&lt;&gt;"",O478&lt;&gt;"",I478&lt;&gt;"",I478&lt;&gt;0),N478/(O478*9.81*I478),"")</f>
        <v/>
      </c>
      <c r="Q478" s="19"/>
      <c r="R478" s="20"/>
    </row>
    <row r="479" customFormat="false" ht="15" hidden="false" customHeight="false" outlineLevel="0" collapsed="false">
      <c r="A479" s="11" t="n">
        <v>475</v>
      </c>
      <c r="B479" s="11" t="n">
        <v>438</v>
      </c>
      <c r="C479" s="11" t="n">
        <v>88</v>
      </c>
      <c r="D479" s="11" t="n">
        <v>3</v>
      </c>
      <c r="E479" s="11" t="n">
        <v>2</v>
      </c>
      <c r="F479" s="11" t="s">
        <v>57</v>
      </c>
      <c r="G479" s="11" t="n">
        <v>10</v>
      </c>
      <c r="H479" s="11" t="n">
        <v>0</v>
      </c>
      <c r="I479" s="16"/>
      <c r="J479" s="16"/>
      <c r="K479" s="17" t="str">
        <f aca="false">IF(AND(I479&lt;&gt;"",J479&lt;&gt;"",J479&lt;&gt;0),I479/J479,"")</f>
        <v/>
      </c>
      <c r="L479" s="16"/>
      <c r="M479" s="16"/>
      <c r="N479" s="16"/>
      <c r="O479" s="16" t="n">
        <v>1.5</v>
      </c>
      <c r="P479" s="17" t="str">
        <f aca="false">IF(AND(N479&lt;&gt;"",O479&lt;&gt;"",I479&lt;&gt;"",I479&lt;&gt;0),N479/(O479*9.81*I479),"")</f>
        <v/>
      </c>
      <c r="Q479" s="16"/>
      <c r="R479" s="18"/>
    </row>
    <row r="480" customFormat="false" ht="15" hidden="false" customHeight="false" outlineLevel="0" collapsed="false">
      <c r="A480" s="13" t="n">
        <v>476</v>
      </c>
      <c r="B480" s="13" t="n">
        <v>494</v>
      </c>
      <c r="C480" s="13" t="n">
        <v>99</v>
      </c>
      <c r="D480" s="13" t="n">
        <v>4</v>
      </c>
      <c r="E480" s="13" t="n">
        <v>2</v>
      </c>
      <c r="F480" s="13" t="s">
        <v>59</v>
      </c>
      <c r="G480" s="13" t="n">
        <v>10</v>
      </c>
      <c r="H480" s="13" t="n">
        <v>20</v>
      </c>
      <c r="I480" s="19"/>
      <c r="J480" s="19"/>
      <c r="K480" s="17" t="str">
        <f aca="false">IF(AND(I480&lt;&gt;"",J480&lt;&gt;"",J480&lt;&gt;0),I480/J480,"")</f>
        <v/>
      </c>
      <c r="L480" s="19"/>
      <c r="M480" s="19"/>
      <c r="N480" s="19"/>
      <c r="O480" s="19" t="n">
        <v>1.5</v>
      </c>
      <c r="P480" s="17" t="str">
        <f aca="false">IF(AND(N480&lt;&gt;"",O480&lt;&gt;"",I480&lt;&gt;"",I480&lt;&gt;0),N480/(O480*9.81*I480),"")</f>
        <v/>
      </c>
      <c r="Q480" s="19"/>
      <c r="R480" s="20"/>
    </row>
    <row r="481" customFormat="false" ht="15" hidden="false" customHeight="false" outlineLevel="0" collapsed="false">
      <c r="A481" s="11" t="n">
        <v>477</v>
      </c>
      <c r="B481" s="11" t="n">
        <v>149</v>
      </c>
      <c r="C481" s="11" t="n">
        <v>30</v>
      </c>
      <c r="D481" s="11" t="n">
        <v>4</v>
      </c>
      <c r="E481" s="11" t="n">
        <v>1</v>
      </c>
      <c r="F481" s="11" t="s">
        <v>57</v>
      </c>
      <c r="G481" s="11" t="n">
        <v>2</v>
      </c>
      <c r="H481" s="11" t="n">
        <v>20</v>
      </c>
      <c r="I481" s="16"/>
      <c r="J481" s="16"/>
      <c r="K481" s="17" t="str">
        <f aca="false">IF(AND(I481&lt;&gt;"",J481&lt;&gt;"",J481&lt;&gt;0),I481/J481,"")</f>
        <v/>
      </c>
      <c r="L481" s="16"/>
      <c r="M481" s="16"/>
      <c r="N481" s="16"/>
      <c r="O481" s="16" t="n">
        <v>1.5</v>
      </c>
      <c r="P481" s="17" t="str">
        <f aca="false">IF(AND(N481&lt;&gt;"",O481&lt;&gt;"",I481&lt;&gt;"",I481&lt;&gt;0),N481/(O481*9.81*I481),"")</f>
        <v/>
      </c>
      <c r="Q481" s="16"/>
      <c r="R481" s="18"/>
    </row>
    <row r="482" customFormat="false" ht="15" hidden="false" customHeight="false" outlineLevel="0" collapsed="false">
      <c r="A482" s="13" t="n">
        <v>478</v>
      </c>
      <c r="B482" s="13" t="n">
        <v>396</v>
      </c>
      <c r="C482" s="13" t="n">
        <v>80</v>
      </c>
      <c r="D482" s="13" t="n">
        <v>1</v>
      </c>
      <c r="E482" s="13" t="n">
        <v>1.5</v>
      </c>
      <c r="F482" s="13" t="s">
        <v>61</v>
      </c>
      <c r="G482" s="13" t="n">
        <v>10</v>
      </c>
      <c r="H482" s="13" t="n">
        <v>10</v>
      </c>
      <c r="I482" s="19"/>
      <c r="J482" s="19"/>
      <c r="K482" s="17" t="str">
        <f aca="false">IF(AND(I482&lt;&gt;"",J482&lt;&gt;"",J482&lt;&gt;0),I482/J482,"")</f>
        <v/>
      </c>
      <c r="L482" s="19"/>
      <c r="M482" s="19"/>
      <c r="N482" s="19"/>
      <c r="O482" s="19" t="n">
        <v>1.5</v>
      </c>
      <c r="P482" s="17" t="str">
        <f aca="false">IF(AND(N482&lt;&gt;"",O482&lt;&gt;"",I482&lt;&gt;"",I482&lt;&gt;0),N482/(O482*9.81*I482),"")</f>
        <v/>
      </c>
      <c r="Q482" s="19"/>
      <c r="R482" s="20"/>
    </row>
    <row r="483" customFormat="false" ht="15" hidden="false" customHeight="false" outlineLevel="0" collapsed="false">
      <c r="A483" s="11" t="n">
        <v>479</v>
      </c>
      <c r="B483" s="11" t="n">
        <v>117</v>
      </c>
      <c r="C483" s="11" t="n">
        <v>24</v>
      </c>
      <c r="D483" s="11" t="n">
        <v>2</v>
      </c>
      <c r="E483" s="11" t="n">
        <v>0.5</v>
      </c>
      <c r="F483" s="11" t="s">
        <v>61</v>
      </c>
      <c r="G483" s="11" t="n">
        <v>5</v>
      </c>
      <c r="H483" s="11" t="n">
        <v>20</v>
      </c>
      <c r="I483" s="16"/>
      <c r="J483" s="16"/>
      <c r="K483" s="17" t="str">
        <f aca="false">IF(AND(I483&lt;&gt;"",J483&lt;&gt;"",J483&lt;&gt;0),I483/J483,"")</f>
        <v/>
      </c>
      <c r="L483" s="16"/>
      <c r="M483" s="16"/>
      <c r="N483" s="16"/>
      <c r="O483" s="16" t="n">
        <v>1.5</v>
      </c>
      <c r="P483" s="17" t="str">
        <f aca="false">IF(AND(N483&lt;&gt;"",O483&lt;&gt;"",I483&lt;&gt;"",I483&lt;&gt;0),N483/(O483*9.81*I483),"")</f>
        <v/>
      </c>
      <c r="Q483" s="16"/>
      <c r="R483" s="18"/>
    </row>
    <row r="484" customFormat="false" ht="15" hidden="false" customHeight="false" outlineLevel="0" collapsed="false">
      <c r="A484" s="13" t="n">
        <v>480</v>
      </c>
      <c r="B484" s="13" t="n">
        <v>339</v>
      </c>
      <c r="C484" s="13" t="n">
        <v>68</v>
      </c>
      <c r="D484" s="13" t="n">
        <v>4</v>
      </c>
      <c r="E484" s="13" t="n">
        <v>1.5</v>
      </c>
      <c r="F484" s="13" t="s">
        <v>59</v>
      </c>
      <c r="G484" s="13" t="n">
        <v>5</v>
      </c>
      <c r="H484" s="13" t="n">
        <v>10</v>
      </c>
      <c r="I484" s="19"/>
      <c r="J484" s="19"/>
      <c r="K484" s="17" t="str">
        <f aca="false">IF(AND(I484&lt;&gt;"",J484&lt;&gt;"",J484&lt;&gt;0),I484/J484,"")</f>
        <v/>
      </c>
      <c r="L484" s="19"/>
      <c r="M484" s="19"/>
      <c r="N484" s="19"/>
      <c r="O484" s="19" t="n">
        <v>1.5</v>
      </c>
      <c r="P484" s="17" t="str">
        <f aca="false">IF(AND(N484&lt;&gt;"",O484&lt;&gt;"",I484&lt;&gt;"",I484&lt;&gt;0),N484/(O484*9.81*I484),"")</f>
        <v/>
      </c>
      <c r="Q484" s="19"/>
      <c r="R484" s="20"/>
    </row>
    <row r="485" customFormat="false" ht="15" hidden="false" customHeight="false" outlineLevel="0" collapsed="false">
      <c r="A485" s="11" t="n">
        <v>481</v>
      </c>
      <c r="B485" s="11" t="n">
        <v>24</v>
      </c>
      <c r="C485" s="11" t="n">
        <v>5</v>
      </c>
      <c r="D485" s="11" t="n">
        <v>4</v>
      </c>
      <c r="E485" s="11" t="n">
        <v>0.5</v>
      </c>
      <c r="F485" s="11" t="s">
        <v>57</v>
      </c>
      <c r="G485" s="11" t="n">
        <v>5</v>
      </c>
      <c r="H485" s="11" t="n">
        <v>10</v>
      </c>
      <c r="I485" s="16"/>
      <c r="J485" s="16"/>
      <c r="K485" s="17" t="str">
        <f aca="false">IF(AND(I485&lt;&gt;"",J485&lt;&gt;"",J485&lt;&gt;0),I485/J485,"")</f>
        <v/>
      </c>
      <c r="L485" s="16"/>
      <c r="M485" s="16"/>
      <c r="N485" s="16"/>
      <c r="O485" s="16" t="n">
        <v>1.5</v>
      </c>
      <c r="P485" s="17" t="str">
        <f aca="false">IF(AND(N485&lt;&gt;"",O485&lt;&gt;"",I485&lt;&gt;"",I485&lt;&gt;0),N485/(O485*9.81*I485),"")</f>
        <v/>
      </c>
      <c r="Q485" s="16"/>
      <c r="R485" s="18"/>
    </row>
    <row r="486" customFormat="false" ht="15" hidden="false" customHeight="false" outlineLevel="0" collapsed="false">
      <c r="A486" s="13" t="n">
        <v>482</v>
      </c>
      <c r="B486" s="13" t="n">
        <v>36</v>
      </c>
      <c r="C486" s="13" t="n">
        <v>8</v>
      </c>
      <c r="D486" s="13" t="n">
        <v>1</v>
      </c>
      <c r="E486" s="13" t="n">
        <v>0.5</v>
      </c>
      <c r="F486" s="13" t="s">
        <v>57</v>
      </c>
      <c r="G486" s="13" t="n">
        <v>10</v>
      </c>
      <c r="H486" s="13" t="n">
        <v>10</v>
      </c>
      <c r="I486" s="19"/>
      <c r="J486" s="19"/>
      <c r="K486" s="17" t="str">
        <f aca="false">IF(AND(I486&lt;&gt;"",J486&lt;&gt;"",J486&lt;&gt;0),I486/J486,"")</f>
        <v/>
      </c>
      <c r="L486" s="19"/>
      <c r="M486" s="19"/>
      <c r="N486" s="19"/>
      <c r="O486" s="19" t="n">
        <v>1.5</v>
      </c>
      <c r="P486" s="17" t="str">
        <f aca="false">IF(AND(N486&lt;&gt;"",O486&lt;&gt;"",I486&lt;&gt;"",I486&lt;&gt;0),N486/(O486*9.81*I486),"")</f>
        <v/>
      </c>
      <c r="Q486" s="19"/>
      <c r="R486" s="20"/>
    </row>
    <row r="487" customFormat="false" ht="15" hidden="false" customHeight="false" outlineLevel="0" collapsed="false">
      <c r="A487" s="11" t="n">
        <v>483</v>
      </c>
      <c r="B487" s="11" t="n">
        <v>361</v>
      </c>
      <c r="C487" s="11" t="n">
        <v>73</v>
      </c>
      <c r="D487" s="11" t="n">
        <v>1</v>
      </c>
      <c r="E487" s="11" t="n">
        <v>1.5</v>
      </c>
      <c r="F487" s="11" t="s">
        <v>61</v>
      </c>
      <c r="G487" s="11" t="n">
        <v>2</v>
      </c>
      <c r="H487" s="11" t="n">
        <v>0</v>
      </c>
      <c r="I487" s="16"/>
      <c r="J487" s="16"/>
      <c r="K487" s="17" t="str">
        <f aca="false">IF(AND(I487&lt;&gt;"",J487&lt;&gt;"",J487&lt;&gt;0),I487/J487,"")</f>
        <v/>
      </c>
      <c r="L487" s="16"/>
      <c r="M487" s="16"/>
      <c r="N487" s="16"/>
      <c r="O487" s="16" t="n">
        <v>1.5</v>
      </c>
      <c r="P487" s="17" t="str">
        <f aca="false">IF(AND(N487&lt;&gt;"",O487&lt;&gt;"",I487&lt;&gt;"",I487&lt;&gt;0),N487/(O487*9.81*I487),"")</f>
        <v/>
      </c>
      <c r="Q487" s="16"/>
      <c r="R487" s="18"/>
    </row>
    <row r="488" customFormat="false" ht="15" hidden="false" customHeight="false" outlineLevel="0" collapsed="false">
      <c r="A488" s="13" t="n">
        <v>484</v>
      </c>
      <c r="B488" s="13" t="n">
        <v>99</v>
      </c>
      <c r="C488" s="13" t="n">
        <v>20</v>
      </c>
      <c r="D488" s="13" t="n">
        <v>4</v>
      </c>
      <c r="E488" s="13" t="n">
        <v>0.5</v>
      </c>
      <c r="F488" s="13" t="s">
        <v>61</v>
      </c>
      <c r="G488" s="13" t="n">
        <v>2</v>
      </c>
      <c r="H488" s="13" t="n">
        <v>10</v>
      </c>
      <c r="I488" s="19"/>
      <c r="J488" s="19"/>
      <c r="K488" s="17" t="str">
        <f aca="false">IF(AND(I488&lt;&gt;"",J488&lt;&gt;"",J488&lt;&gt;0),I488/J488,"")</f>
        <v/>
      </c>
      <c r="L488" s="19"/>
      <c r="M488" s="19"/>
      <c r="N488" s="19"/>
      <c r="O488" s="19" t="n">
        <v>1.5</v>
      </c>
      <c r="P488" s="17" t="str">
        <f aca="false">IF(AND(N488&lt;&gt;"",O488&lt;&gt;"",I488&lt;&gt;"",I488&lt;&gt;0),N488/(O488*9.81*I488),"")</f>
        <v/>
      </c>
      <c r="Q488" s="19"/>
      <c r="R488" s="20"/>
    </row>
    <row r="489" customFormat="false" ht="15" hidden="false" customHeight="false" outlineLevel="0" collapsed="false">
      <c r="A489" s="11" t="n">
        <v>485</v>
      </c>
      <c r="B489" s="11" t="n">
        <v>296</v>
      </c>
      <c r="C489" s="11" t="n">
        <v>60</v>
      </c>
      <c r="D489" s="11" t="n">
        <v>1</v>
      </c>
      <c r="E489" s="11" t="n">
        <v>1.5</v>
      </c>
      <c r="F489" s="11" t="s">
        <v>57</v>
      </c>
      <c r="G489" s="11" t="n">
        <v>5</v>
      </c>
      <c r="H489" s="11" t="n">
        <v>20</v>
      </c>
      <c r="I489" s="16"/>
      <c r="J489" s="16"/>
      <c r="K489" s="17" t="str">
        <f aca="false">IF(AND(I489&lt;&gt;"",J489&lt;&gt;"",J489&lt;&gt;0),I489/J489,"")</f>
        <v/>
      </c>
      <c r="L489" s="16"/>
      <c r="M489" s="16"/>
      <c r="N489" s="16"/>
      <c r="O489" s="16" t="n">
        <v>1.5</v>
      </c>
      <c r="P489" s="17" t="str">
        <f aca="false">IF(AND(N489&lt;&gt;"",O489&lt;&gt;"",I489&lt;&gt;"",I489&lt;&gt;0),N489/(O489*9.81*I489),"")</f>
        <v/>
      </c>
      <c r="Q489" s="16"/>
      <c r="R489" s="18"/>
    </row>
    <row r="490" customFormat="false" ht="15" hidden="false" customHeight="false" outlineLevel="0" collapsed="false">
      <c r="A490" s="13" t="n">
        <v>486</v>
      </c>
      <c r="B490" s="13" t="n">
        <v>186</v>
      </c>
      <c r="C490" s="13" t="n">
        <v>38</v>
      </c>
      <c r="D490" s="13" t="n">
        <v>1</v>
      </c>
      <c r="E490" s="13" t="n">
        <v>1</v>
      </c>
      <c r="F490" s="13" t="s">
        <v>59</v>
      </c>
      <c r="G490" s="13" t="n">
        <v>2</v>
      </c>
      <c r="H490" s="13" t="n">
        <v>10</v>
      </c>
      <c r="I490" s="19"/>
      <c r="J490" s="19"/>
      <c r="K490" s="17" t="str">
        <f aca="false">IF(AND(I490&lt;&gt;"",J490&lt;&gt;"",J490&lt;&gt;0),I490/J490,"")</f>
        <v/>
      </c>
      <c r="L490" s="19"/>
      <c r="M490" s="19"/>
      <c r="N490" s="19"/>
      <c r="O490" s="19" t="n">
        <v>1.5</v>
      </c>
      <c r="P490" s="17" t="str">
        <f aca="false">IF(AND(N490&lt;&gt;"",O490&lt;&gt;"",I490&lt;&gt;"",I490&lt;&gt;0),N490/(O490*9.81*I490),"")</f>
        <v/>
      </c>
      <c r="Q490" s="19"/>
      <c r="R490" s="20"/>
    </row>
    <row r="491" customFormat="false" ht="15" hidden="false" customHeight="false" outlineLevel="0" collapsed="false">
      <c r="A491" s="11" t="n">
        <v>487</v>
      </c>
      <c r="B491" s="11" t="n">
        <v>442</v>
      </c>
      <c r="C491" s="11" t="n">
        <v>89</v>
      </c>
      <c r="D491" s="11" t="n">
        <v>2</v>
      </c>
      <c r="E491" s="11" t="n">
        <v>2</v>
      </c>
      <c r="F491" s="11" t="s">
        <v>57</v>
      </c>
      <c r="G491" s="11" t="n">
        <v>10</v>
      </c>
      <c r="H491" s="11" t="n">
        <v>10</v>
      </c>
      <c r="I491" s="16"/>
      <c r="J491" s="16"/>
      <c r="K491" s="17" t="str">
        <f aca="false">IF(AND(I491&lt;&gt;"",J491&lt;&gt;"",J491&lt;&gt;0),I491/J491,"")</f>
        <v/>
      </c>
      <c r="L491" s="16"/>
      <c r="M491" s="16"/>
      <c r="N491" s="16"/>
      <c r="O491" s="16" t="n">
        <v>1.5</v>
      </c>
      <c r="P491" s="17" t="str">
        <f aca="false">IF(AND(N491&lt;&gt;"",O491&lt;&gt;"",I491&lt;&gt;"",I491&lt;&gt;0),N491/(O491*9.81*I491),"")</f>
        <v/>
      </c>
      <c r="Q491" s="16"/>
      <c r="R491" s="18"/>
    </row>
    <row r="492" customFormat="false" ht="15" hidden="false" customHeight="false" outlineLevel="0" collapsed="false">
      <c r="A492" s="13" t="n">
        <v>488</v>
      </c>
      <c r="B492" s="13" t="n">
        <v>454</v>
      </c>
      <c r="C492" s="13" t="n">
        <v>91</v>
      </c>
      <c r="D492" s="13" t="n">
        <v>4</v>
      </c>
      <c r="E492" s="13" t="n">
        <v>2</v>
      </c>
      <c r="F492" s="13" t="s">
        <v>59</v>
      </c>
      <c r="G492" s="13" t="n">
        <v>2</v>
      </c>
      <c r="H492" s="13" t="n">
        <v>0</v>
      </c>
      <c r="I492" s="19"/>
      <c r="J492" s="19"/>
      <c r="K492" s="17" t="str">
        <f aca="false">IF(AND(I492&lt;&gt;"",J492&lt;&gt;"",J492&lt;&gt;0),I492/J492,"")</f>
        <v/>
      </c>
      <c r="L492" s="19"/>
      <c r="M492" s="19"/>
      <c r="N492" s="19"/>
      <c r="O492" s="19" t="n">
        <v>1.5</v>
      </c>
      <c r="P492" s="17" t="str">
        <f aca="false">IF(AND(N492&lt;&gt;"",O492&lt;&gt;"",I492&lt;&gt;"",I492&lt;&gt;0),N492/(O492*9.81*I492),"")</f>
        <v/>
      </c>
      <c r="Q492" s="19"/>
      <c r="R492" s="20"/>
    </row>
    <row r="493" customFormat="false" ht="15" hidden="false" customHeight="false" outlineLevel="0" collapsed="false">
      <c r="A493" s="11" t="n">
        <v>489</v>
      </c>
      <c r="B493" s="11" t="n">
        <v>317</v>
      </c>
      <c r="C493" s="11" t="n">
        <v>64</v>
      </c>
      <c r="D493" s="11" t="n">
        <v>2</v>
      </c>
      <c r="E493" s="11" t="n">
        <v>1.5</v>
      </c>
      <c r="F493" s="11" t="s">
        <v>59</v>
      </c>
      <c r="G493" s="11" t="n">
        <v>2</v>
      </c>
      <c r="H493" s="11" t="n">
        <v>0</v>
      </c>
      <c r="I493" s="16"/>
      <c r="J493" s="16"/>
      <c r="K493" s="17" t="str">
        <f aca="false">IF(AND(I493&lt;&gt;"",J493&lt;&gt;"",J493&lt;&gt;0),I493/J493,"")</f>
        <v/>
      </c>
      <c r="L493" s="16"/>
      <c r="M493" s="16"/>
      <c r="N493" s="16"/>
      <c r="O493" s="16" t="n">
        <v>1.5</v>
      </c>
      <c r="P493" s="17" t="str">
        <f aca="false">IF(AND(N493&lt;&gt;"",O493&lt;&gt;"",I493&lt;&gt;"",I493&lt;&gt;0),N493/(O493*9.81*I493),"")</f>
        <v/>
      </c>
      <c r="Q493" s="16"/>
      <c r="R493" s="18"/>
    </row>
    <row r="494" customFormat="false" ht="15" hidden="false" customHeight="false" outlineLevel="0" collapsed="false">
      <c r="A494" s="13" t="n">
        <v>490</v>
      </c>
      <c r="B494" s="13" t="n">
        <v>322</v>
      </c>
      <c r="C494" s="13" t="n">
        <v>65</v>
      </c>
      <c r="D494" s="13" t="n">
        <v>2</v>
      </c>
      <c r="E494" s="13" t="n">
        <v>1.5</v>
      </c>
      <c r="F494" s="13" t="s">
        <v>59</v>
      </c>
      <c r="G494" s="13" t="n">
        <v>2</v>
      </c>
      <c r="H494" s="13" t="n">
        <v>10</v>
      </c>
      <c r="I494" s="19"/>
      <c r="J494" s="19"/>
      <c r="K494" s="17" t="str">
        <f aca="false">IF(AND(I494&lt;&gt;"",J494&lt;&gt;"",J494&lt;&gt;0),I494/J494,"")</f>
        <v/>
      </c>
      <c r="L494" s="19"/>
      <c r="M494" s="19"/>
      <c r="N494" s="19"/>
      <c r="O494" s="19" t="n">
        <v>1.5</v>
      </c>
      <c r="P494" s="17" t="str">
        <f aca="false">IF(AND(N494&lt;&gt;"",O494&lt;&gt;"",I494&lt;&gt;"",I494&lt;&gt;0),N494/(O494*9.81*I494),"")</f>
        <v/>
      </c>
      <c r="Q494" s="19"/>
      <c r="R494" s="20"/>
    </row>
    <row r="495" customFormat="false" ht="15" hidden="false" customHeight="false" outlineLevel="0" collapsed="false">
      <c r="A495" s="11" t="n">
        <v>491</v>
      </c>
      <c r="B495" s="11" t="n">
        <v>425</v>
      </c>
      <c r="C495" s="11" t="n">
        <v>85</v>
      </c>
      <c r="D495" s="11" t="n">
        <v>5</v>
      </c>
      <c r="E495" s="11" t="n">
        <v>2</v>
      </c>
      <c r="F495" s="11" t="s">
        <v>57</v>
      </c>
      <c r="G495" s="11" t="n">
        <v>5</v>
      </c>
      <c r="H495" s="11" t="n">
        <v>0</v>
      </c>
      <c r="I495" s="16"/>
      <c r="J495" s="16"/>
      <c r="K495" s="17" t="str">
        <f aca="false">IF(AND(I495&lt;&gt;"",J495&lt;&gt;"",J495&lt;&gt;0),I495/J495,"")</f>
        <v/>
      </c>
      <c r="L495" s="16"/>
      <c r="M495" s="16"/>
      <c r="N495" s="16"/>
      <c r="O495" s="16" t="n">
        <v>1.5</v>
      </c>
      <c r="P495" s="17" t="str">
        <f aca="false">IF(AND(N495&lt;&gt;"",O495&lt;&gt;"",I495&lt;&gt;"",I495&lt;&gt;0),N495/(O495*9.81*I495),"")</f>
        <v/>
      </c>
      <c r="Q495" s="16"/>
      <c r="R495" s="18"/>
    </row>
    <row r="496" customFormat="false" ht="15" hidden="false" customHeight="false" outlineLevel="0" collapsed="false">
      <c r="A496" s="13" t="n">
        <v>492</v>
      </c>
      <c r="B496" s="13" t="n">
        <v>151</v>
      </c>
      <c r="C496" s="13" t="n">
        <v>31</v>
      </c>
      <c r="D496" s="13" t="n">
        <v>1</v>
      </c>
      <c r="E496" s="13" t="n">
        <v>1</v>
      </c>
      <c r="F496" s="13" t="s">
        <v>57</v>
      </c>
      <c r="G496" s="13" t="n">
        <v>5</v>
      </c>
      <c r="H496" s="13" t="n">
        <v>0</v>
      </c>
      <c r="I496" s="19"/>
      <c r="J496" s="19"/>
      <c r="K496" s="17" t="str">
        <f aca="false">IF(AND(I496&lt;&gt;"",J496&lt;&gt;"",J496&lt;&gt;0),I496/J496,"")</f>
        <v/>
      </c>
      <c r="L496" s="19"/>
      <c r="M496" s="19"/>
      <c r="N496" s="19"/>
      <c r="O496" s="19" t="n">
        <v>1.5</v>
      </c>
      <c r="P496" s="17" t="str">
        <f aca="false">IF(AND(N496&lt;&gt;"",O496&lt;&gt;"",I496&lt;&gt;"",I496&lt;&gt;0),N496/(O496*9.81*I496),"")</f>
        <v/>
      </c>
      <c r="Q496" s="19"/>
      <c r="R496" s="20"/>
    </row>
    <row r="497" customFormat="false" ht="15" hidden="false" customHeight="false" outlineLevel="0" collapsed="false">
      <c r="A497" s="11" t="n">
        <v>493</v>
      </c>
      <c r="B497" s="11" t="n">
        <v>283</v>
      </c>
      <c r="C497" s="11" t="n">
        <v>57</v>
      </c>
      <c r="D497" s="11" t="n">
        <v>3</v>
      </c>
      <c r="E497" s="11" t="n">
        <v>1.5</v>
      </c>
      <c r="F497" s="11" t="s">
        <v>57</v>
      </c>
      <c r="G497" s="11" t="n">
        <v>2</v>
      </c>
      <c r="H497" s="11" t="n">
        <v>20</v>
      </c>
      <c r="I497" s="16"/>
      <c r="J497" s="16"/>
      <c r="K497" s="17" t="str">
        <f aca="false">IF(AND(I497&lt;&gt;"",J497&lt;&gt;"",J497&lt;&gt;0),I497/J497,"")</f>
        <v/>
      </c>
      <c r="L497" s="16"/>
      <c r="M497" s="16"/>
      <c r="N497" s="16"/>
      <c r="O497" s="16" t="n">
        <v>1.5</v>
      </c>
      <c r="P497" s="17" t="str">
        <f aca="false">IF(AND(N497&lt;&gt;"",O497&lt;&gt;"",I497&lt;&gt;"",I497&lt;&gt;0),N497/(O497*9.81*I497),"")</f>
        <v/>
      </c>
      <c r="Q497" s="16"/>
      <c r="R497" s="18"/>
    </row>
    <row r="498" customFormat="false" ht="15" hidden="false" customHeight="false" outlineLevel="0" collapsed="false">
      <c r="A498" s="13" t="n">
        <v>494</v>
      </c>
      <c r="B498" s="13" t="n">
        <v>41</v>
      </c>
      <c r="C498" s="13" t="n">
        <v>9</v>
      </c>
      <c r="D498" s="13" t="n">
        <v>1</v>
      </c>
      <c r="E498" s="13" t="n">
        <v>0.5</v>
      </c>
      <c r="F498" s="13" t="s">
        <v>57</v>
      </c>
      <c r="G498" s="13" t="n">
        <v>10</v>
      </c>
      <c r="H498" s="13" t="n">
        <v>20</v>
      </c>
      <c r="I498" s="19"/>
      <c r="J498" s="19"/>
      <c r="K498" s="17" t="str">
        <f aca="false">IF(AND(I498&lt;&gt;"",J498&lt;&gt;"",J498&lt;&gt;0),I498/J498,"")</f>
        <v/>
      </c>
      <c r="L498" s="19"/>
      <c r="M498" s="19"/>
      <c r="N498" s="19"/>
      <c r="O498" s="19" t="n">
        <v>1.5</v>
      </c>
      <c r="P498" s="17" t="str">
        <f aca="false">IF(AND(N498&lt;&gt;"",O498&lt;&gt;"",I498&lt;&gt;"",I498&lt;&gt;0),N498/(O498*9.81*I498),"")</f>
        <v/>
      </c>
      <c r="Q498" s="19"/>
      <c r="R498" s="20"/>
    </row>
    <row r="499" customFormat="false" ht="15" hidden="false" customHeight="false" outlineLevel="0" collapsed="false">
      <c r="A499" s="11" t="n">
        <v>495</v>
      </c>
      <c r="B499" s="11" t="n">
        <v>194</v>
      </c>
      <c r="C499" s="11" t="n">
        <v>39</v>
      </c>
      <c r="D499" s="11" t="n">
        <v>4</v>
      </c>
      <c r="E499" s="11" t="n">
        <v>1</v>
      </c>
      <c r="F499" s="11" t="s">
        <v>59</v>
      </c>
      <c r="G499" s="11" t="n">
        <v>2</v>
      </c>
      <c r="H499" s="11" t="n">
        <v>20</v>
      </c>
      <c r="I499" s="16"/>
      <c r="J499" s="16"/>
      <c r="K499" s="17" t="str">
        <f aca="false">IF(AND(I499&lt;&gt;"",J499&lt;&gt;"",J499&lt;&gt;0),I499/J499,"")</f>
        <v/>
      </c>
      <c r="L499" s="16"/>
      <c r="M499" s="16"/>
      <c r="N499" s="16"/>
      <c r="O499" s="16" t="n">
        <v>1.5</v>
      </c>
      <c r="P499" s="17" t="str">
        <f aca="false">IF(AND(N499&lt;&gt;"",O499&lt;&gt;"",I499&lt;&gt;"",I499&lt;&gt;0),N499/(O499*9.81*I499),"")</f>
        <v/>
      </c>
      <c r="Q499" s="16"/>
      <c r="R499" s="18"/>
    </row>
    <row r="500" customFormat="false" ht="15" hidden="false" customHeight="false" outlineLevel="0" collapsed="false">
      <c r="A500" s="13" t="n">
        <v>496</v>
      </c>
      <c r="B500" s="13" t="n">
        <v>473</v>
      </c>
      <c r="C500" s="13" t="n">
        <v>95</v>
      </c>
      <c r="D500" s="13" t="n">
        <v>3</v>
      </c>
      <c r="E500" s="13" t="n">
        <v>2</v>
      </c>
      <c r="F500" s="13" t="s">
        <v>59</v>
      </c>
      <c r="G500" s="13" t="n">
        <v>5</v>
      </c>
      <c r="H500" s="13" t="n">
        <v>10</v>
      </c>
      <c r="I500" s="19"/>
      <c r="J500" s="19"/>
      <c r="K500" s="17" t="str">
        <f aca="false">IF(AND(I500&lt;&gt;"",J500&lt;&gt;"",J500&lt;&gt;0),I500/J500,"")</f>
        <v/>
      </c>
      <c r="L500" s="19"/>
      <c r="M500" s="19"/>
      <c r="N500" s="19"/>
      <c r="O500" s="19" t="n">
        <v>1.5</v>
      </c>
      <c r="P500" s="17" t="str">
        <f aca="false">IF(AND(N500&lt;&gt;"",O500&lt;&gt;"",I500&lt;&gt;"",I500&lt;&gt;0),N500/(O500*9.81*I500),"")</f>
        <v/>
      </c>
      <c r="Q500" s="19"/>
      <c r="R500" s="20"/>
    </row>
    <row r="501" customFormat="false" ht="15" hidden="false" customHeight="false" outlineLevel="0" collapsed="false">
      <c r="A501" s="11" t="n">
        <v>497</v>
      </c>
      <c r="B501" s="11" t="n">
        <v>64</v>
      </c>
      <c r="C501" s="11" t="n">
        <v>13</v>
      </c>
      <c r="D501" s="11" t="n">
        <v>4</v>
      </c>
      <c r="E501" s="11" t="n">
        <v>0.5</v>
      </c>
      <c r="F501" s="11" t="s">
        <v>59</v>
      </c>
      <c r="G501" s="11" t="n">
        <v>5</v>
      </c>
      <c r="H501" s="11" t="n">
        <v>0</v>
      </c>
      <c r="I501" s="16"/>
      <c r="J501" s="16"/>
      <c r="K501" s="17" t="str">
        <f aca="false">IF(AND(I501&lt;&gt;"",J501&lt;&gt;"",J501&lt;&gt;0),I501/J501,"")</f>
        <v/>
      </c>
      <c r="L501" s="16"/>
      <c r="M501" s="16"/>
      <c r="N501" s="16"/>
      <c r="O501" s="16" t="n">
        <v>1.5</v>
      </c>
      <c r="P501" s="17" t="str">
        <f aca="false">IF(AND(N501&lt;&gt;"",O501&lt;&gt;"",I501&lt;&gt;"",I501&lt;&gt;0),N501/(O501*9.81*I501),"")</f>
        <v/>
      </c>
      <c r="Q501" s="16"/>
      <c r="R501" s="18"/>
    </row>
    <row r="502" customFormat="false" ht="15" hidden="false" customHeight="false" outlineLevel="0" collapsed="false">
      <c r="A502" s="13" t="n">
        <v>498</v>
      </c>
      <c r="B502" s="13" t="n">
        <v>275</v>
      </c>
      <c r="C502" s="13" t="n">
        <v>55</v>
      </c>
      <c r="D502" s="13" t="n">
        <v>5</v>
      </c>
      <c r="E502" s="13" t="n">
        <v>1.5</v>
      </c>
      <c r="F502" s="13" t="s">
        <v>57</v>
      </c>
      <c r="G502" s="13" t="n">
        <v>2</v>
      </c>
      <c r="H502" s="13" t="n">
        <v>0</v>
      </c>
      <c r="I502" s="19"/>
      <c r="J502" s="19"/>
      <c r="K502" s="17" t="str">
        <f aca="false">IF(AND(I502&lt;&gt;"",J502&lt;&gt;"",J502&lt;&gt;0),I502/J502,"")</f>
        <v/>
      </c>
      <c r="L502" s="19"/>
      <c r="M502" s="19"/>
      <c r="N502" s="19"/>
      <c r="O502" s="19" t="n">
        <v>1.5</v>
      </c>
      <c r="P502" s="17" t="str">
        <f aca="false">IF(AND(N502&lt;&gt;"",O502&lt;&gt;"",I502&lt;&gt;"",I502&lt;&gt;0),N502/(O502*9.81*I502),"")</f>
        <v/>
      </c>
      <c r="Q502" s="19"/>
      <c r="R502" s="20"/>
    </row>
    <row r="503" customFormat="false" ht="15" hidden="false" customHeight="false" outlineLevel="0" collapsed="false">
      <c r="A503" s="11" t="n">
        <v>499</v>
      </c>
      <c r="B503" s="11" t="n">
        <v>236</v>
      </c>
      <c r="C503" s="11" t="n">
        <v>48</v>
      </c>
      <c r="D503" s="11" t="n">
        <v>1</v>
      </c>
      <c r="E503" s="11" t="n">
        <v>1</v>
      </c>
      <c r="F503" s="11" t="s">
        <v>61</v>
      </c>
      <c r="G503" s="11" t="n">
        <v>2</v>
      </c>
      <c r="H503" s="11" t="n">
        <v>20</v>
      </c>
      <c r="I503" s="16"/>
      <c r="J503" s="16"/>
      <c r="K503" s="17" t="str">
        <f aca="false">IF(AND(I503&lt;&gt;"",J503&lt;&gt;"",J503&lt;&gt;0),I503/J503,"")</f>
        <v/>
      </c>
      <c r="L503" s="16"/>
      <c r="M503" s="16"/>
      <c r="N503" s="16"/>
      <c r="O503" s="16" t="n">
        <v>1.5</v>
      </c>
      <c r="P503" s="17" t="str">
        <f aca="false">IF(AND(N503&lt;&gt;"",O503&lt;&gt;"",I503&lt;&gt;"",I503&lt;&gt;0),N503/(O503*9.81*I503),"")</f>
        <v/>
      </c>
      <c r="Q503" s="16"/>
      <c r="R503" s="18"/>
    </row>
    <row r="504" customFormat="false" ht="15" hidden="false" customHeight="false" outlineLevel="0" collapsed="false">
      <c r="A504" s="13" t="n">
        <v>500</v>
      </c>
      <c r="B504" s="13" t="n">
        <v>374</v>
      </c>
      <c r="C504" s="13" t="n">
        <v>75</v>
      </c>
      <c r="D504" s="13" t="n">
        <v>4</v>
      </c>
      <c r="E504" s="13" t="n">
        <v>1.5</v>
      </c>
      <c r="F504" s="13" t="s">
        <v>61</v>
      </c>
      <c r="G504" s="13" t="n">
        <v>2</v>
      </c>
      <c r="H504" s="13" t="n">
        <v>20</v>
      </c>
      <c r="I504" s="19"/>
      <c r="J504" s="19"/>
      <c r="K504" s="17" t="str">
        <f aca="false">IF(AND(I504&lt;&gt;"",J504&lt;&gt;"",J504&lt;&gt;0),I504/J504,"")</f>
        <v/>
      </c>
      <c r="L504" s="19"/>
      <c r="M504" s="19"/>
      <c r="N504" s="19"/>
      <c r="O504" s="19" t="n">
        <v>1.5</v>
      </c>
      <c r="P504" s="17" t="str">
        <f aca="false">IF(AND(N504&lt;&gt;"",O504&lt;&gt;"",I504&lt;&gt;"",I504&lt;&gt;0),N504/(O504*9.81*I504),"")</f>
        <v/>
      </c>
      <c r="Q504" s="19"/>
      <c r="R504" s="20"/>
    </row>
    <row r="505" customFormat="false" ht="15" hidden="false" customHeight="false" outlineLevel="0" collapsed="false">
      <c r="A505" s="11" t="n">
        <v>501</v>
      </c>
      <c r="B505" s="11" t="n">
        <v>23</v>
      </c>
      <c r="C505" s="11" t="n">
        <v>5</v>
      </c>
      <c r="D505" s="11" t="n">
        <v>3</v>
      </c>
      <c r="E505" s="11" t="n">
        <v>0.5</v>
      </c>
      <c r="F505" s="11" t="s">
        <v>57</v>
      </c>
      <c r="G505" s="11" t="n">
        <v>5</v>
      </c>
      <c r="H505" s="11" t="n">
        <v>10</v>
      </c>
      <c r="I505" s="16"/>
      <c r="J505" s="16"/>
      <c r="K505" s="17" t="str">
        <f aca="false">IF(AND(I505&lt;&gt;"",J505&lt;&gt;"",J505&lt;&gt;0),I505/J505,"")</f>
        <v/>
      </c>
      <c r="L505" s="16"/>
      <c r="M505" s="16"/>
      <c r="N505" s="16"/>
      <c r="O505" s="16" t="n">
        <v>1.5</v>
      </c>
      <c r="P505" s="17" t="str">
        <f aca="false">IF(AND(N505&lt;&gt;"",O505&lt;&gt;"",I505&lt;&gt;"",I505&lt;&gt;0),N505/(O505*9.81*I505),"")</f>
        <v/>
      </c>
      <c r="Q505" s="16"/>
      <c r="R505" s="18"/>
    </row>
    <row r="506" customFormat="false" ht="15" hidden="false" customHeight="false" outlineLevel="0" collapsed="false">
      <c r="A506" s="13" t="n">
        <v>502</v>
      </c>
      <c r="B506" s="13" t="n">
        <v>414</v>
      </c>
      <c r="C506" s="13" t="n">
        <v>83</v>
      </c>
      <c r="D506" s="13" t="n">
        <v>4</v>
      </c>
      <c r="E506" s="13" t="n">
        <v>2</v>
      </c>
      <c r="F506" s="13" t="s">
        <v>57</v>
      </c>
      <c r="G506" s="13" t="n">
        <v>2</v>
      </c>
      <c r="H506" s="13" t="n">
        <v>10</v>
      </c>
      <c r="I506" s="19"/>
      <c r="J506" s="19"/>
      <c r="K506" s="17" t="str">
        <f aca="false">IF(AND(I506&lt;&gt;"",J506&lt;&gt;"",J506&lt;&gt;0),I506/J506,"")</f>
        <v/>
      </c>
      <c r="L506" s="19"/>
      <c r="M506" s="19"/>
      <c r="N506" s="19"/>
      <c r="O506" s="19" t="n">
        <v>1.5</v>
      </c>
      <c r="P506" s="17" t="str">
        <f aca="false">IF(AND(N506&lt;&gt;"",O506&lt;&gt;"",I506&lt;&gt;"",I506&lt;&gt;0),N506/(O506*9.81*I506),"")</f>
        <v/>
      </c>
      <c r="Q506" s="19"/>
      <c r="R506" s="20"/>
    </row>
    <row r="507" customFormat="false" ht="15" hidden="false" customHeight="false" outlineLevel="0" collapsed="false">
      <c r="A507" s="11" t="n">
        <v>503</v>
      </c>
      <c r="B507" s="11" t="n">
        <v>136</v>
      </c>
      <c r="C507" s="11" t="n">
        <v>28</v>
      </c>
      <c r="D507" s="11" t="n">
        <v>1</v>
      </c>
      <c r="E507" s="11" t="n">
        <v>1</v>
      </c>
      <c r="F507" s="11" t="s">
        <v>57</v>
      </c>
      <c r="G507" s="11" t="n">
        <v>2</v>
      </c>
      <c r="H507" s="11" t="n">
        <v>0</v>
      </c>
      <c r="I507" s="16"/>
      <c r="J507" s="16"/>
      <c r="K507" s="17" t="str">
        <f aca="false">IF(AND(I507&lt;&gt;"",J507&lt;&gt;"",J507&lt;&gt;0),I507/J507,"")</f>
        <v/>
      </c>
      <c r="L507" s="16"/>
      <c r="M507" s="16"/>
      <c r="N507" s="16"/>
      <c r="O507" s="16" t="n">
        <v>1.5</v>
      </c>
      <c r="P507" s="17" t="str">
        <f aca="false">IF(AND(N507&lt;&gt;"",O507&lt;&gt;"",I507&lt;&gt;"",I507&lt;&gt;0),N507/(O507*9.81*I507),"")</f>
        <v/>
      </c>
      <c r="Q507" s="16"/>
      <c r="R507" s="18"/>
    </row>
    <row r="508" customFormat="false" ht="15" hidden="false" customHeight="false" outlineLevel="0" collapsed="false">
      <c r="A508" s="13" t="n">
        <v>504</v>
      </c>
      <c r="B508" s="13" t="n">
        <v>310</v>
      </c>
      <c r="C508" s="13" t="n">
        <v>62</v>
      </c>
      <c r="D508" s="13" t="n">
        <v>5</v>
      </c>
      <c r="E508" s="13" t="n">
        <v>1.5</v>
      </c>
      <c r="F508" s="13" t="s">
        <v>57</v>
      </c>
      <c r="G508" s="13" t="n">
        <v>10</v>
      </c>
      <c r="H508" s="13" t="n">
        <v>10</v>
      </c>
      <c r="I508" s="19"/>
      <c r="J508" s="19"/>
      <c r="K508" s="17" t="str">
        <f aca="false">IF(AND(I508&lt;&gt;"",J508&lt;&gt;"",J508&lt;&gt;0),I508/J508,"")</f>
        <v/>
      </c>
      <c r="L508" s="19"/>
      <c r="M508" s="19"/>
      <c r="N508" s="19"/>
      <c r="O508" s="19" t="n">
        <v>1.5</v>
      </c>
      <c r="P508" s="17" t="str">
        <f aca="false">IF(AND(N508&lt;&gt;"",O508&lt;&gt;"",I508&lt;&gt;"",I508&lt;&gt;0),N508/(O508*9.81*I508),"")</f>
        <v/>
      </c>
      <c r="Q508" s="19"/>
      <c r="R508" s="20"/>
    </row>
    <row r="509" customFormat="false" ht="15" hidden="false" customHeight="false" outlineLevel="0" collapsed="false">
      <c r="A509" s="11" t="n">
        <v>505</v>
      </c>
      <c r="B509" s="11" t="n">
        <v>177</v>
      </c>
      <c r="C509" s="11" t="n">
        <v>36</v>
      </c>
      <c r="D509" s="11" t="n">
        <v>2</v>
      </c>
      <c r="E509" s="11" t="n">
        <v>1</v>
      </c>
      <c r="F509" s="11" t="s">
        <v>57</v>
      </c>
      <c r="G509" s="11" t="n">
        <v>10</v>
      </c>
      <c r="H509" s="11" t="n">
        <v>20</v>
      </c>
      <c r="I509" s="16"/>
      <c r="J509" s="16"/>
      <c r="K509" s="17" t="str">
        <f aca="false">IF(AND(I509&lt;&gt;"",J509&lt;&gt;"",J509&lt;&gt;0),I509/J509,"")</f>
        <v/>
      </c>
      <c r="L509" s="16"/>
      <c r="M509" s="16"/>
      <c r="N509" s="16"/>
      <c r="O509" s="16" t="n">
        <v>1.5</v>
      </c>
      <c r="P509" s="17" t="str">
        <f aca="false">IF(AND(N509&lt;&gt;"",O509&lt;&gt;"",I509&lt;&gt;"",I509&lt;&gt;0),N509/(O509*9.81*I509),"")</f>
        <v/>
      </c>
      <c r="Q509" s="16"/>
      <c r="R509" s="18"/>
    </row>
    <row r="510" customFormat="false" ht="15" hidden="false" customHeight="false" outlineLevel="0" collapsed="false">
      <c r="A510" s="13" t="n">
        <v>506</v>
      </c>
      <c r="B510" s="13" t="n">
        <v>434</v>
      </c>
      <c r="C510" s="13" t="n">
        <v>87</v>
      </c>
      <c r="D510" s="13" t="n">
        <v>4</v>
      </c>
      <c r="E510" s="13" t="n">
        <v>2</v>
      </c>
      <c r="F510" s="13" t="s">
        <v>57</v>
      </c>
      <c r="G510" s="13" t="n">
        <v>5</v>
      </c>
      <c r="H510" s="13" t="n">
        <v>20</v>
      </c>
      <c r="I510" s="19"/>
      <c r="J510" s="19"/>
      <c r="K510" s="17" t="str">
        <f aca="false">IF(AND(I510&lt;&gt;"",J510&lt;&gt;"",J510&lt;&gt;0),I510/J510,"")</f>
        <v/>
      </c>
      <c r="L510" s="19"/>
      <c r="M510" s="19"/>
      <c r="N510" s="19"/>
      <c r="O510" s="19" t="n">
        <v>1.5</v>
      </c>
      <c r="P510" s="17" t="str">
        <f aca="false">IF(AND(N510&lt;&gt;"",O510&lt;&gt;"",I510&lt;&gt;"",I510&lt;&gt;0),N510/(O510*9.81*I510),"")</f>
        <v/>
      </c>
      <c r="Q510" s="19"/>
      <c r="R510" s="20"/>
    </row>
    <row r="511" customFormat="false" ht="15" hidden="false" customHeight="false" outlineLevel="0" collapsed="false">
      <c r="A511" s="11" t="n">
        <v>507</v>
      </c>
      <c r="B511" s="11" t="n">
        <v>184</v>
      </c>
      <c r="C511" s="11" t="n">
        <v>37</v>
      </c>
      <c r="D511" s="11" t="n">
        <v>4</v>
      </c>
      <c r="E511" s="11" t="n">
        <v>1</v>
      </c>
      <c r="F511" s="11" t="s">
        <v>59</v>
      </c>
      <c r="G511" s="11" t="n">
        <v>2</v>
      </c>
      <c r="H511" s="11" t="n">
        <v>0</v>
      </c>
      <c r="I511" s="16"/>
      <c r="J511" s="16"/>
      <c r="K511" s="17" t="str">
        <f aca="false">IF(AND(I511&lt;&gt;"",J511&lt;&gt;"",J511&lt;&gt;0),I511/J511,"")</f>
        <v/>
      </c>
      <c r="L511" s="16"/>
      <c r="M511" s="16"/>
      <c r="N511" s="16"/>
      <c r="O511" s="16" t="n">
        <v>1.5</v>
      </c>
      <c r="P511" s="17" t="str">
        <f aca="false">IF(AND(N511&lt;&gt;"",O511&lt;&gt;"",I511&lt;&gt;"",I511&lt;&gt;0),N511/(O511*9.81*I511),"")</f>
        <v/>
      </c>
      <c r="Q511" s="16"/>
      <c r="R511" s="18"/>
    </row>
    <row r="512" customFormat="false" ht="15" hidden="false" customHeight="false" outlineLevel="0" collapsed="false">
      <c r="A512" s="13" t="n">
        <v>508</v>
      </c>
      <c r="B512" s="13" t="n">
        <v>50</v>
      </c>
      <c r="C512" s="13" t="n">
        <v>10</v>
      </c>
      <c r="D512" s="13" t="n">
        <v>5</v>
      </c>
      <c r="E512" s="13" t="n">
        <v>0.5</v>
      </c>
      <c r="F512" s="13" t="s">
        <v>59</v>
      </c>
      <c r="G512" s="13" t="n">
        <v>2</v>
      </c>
      <c r="H512" s="13" t="n">
        <v>0</v>
      </c>
      <c r="I512" s="19"/>
      <c r="J512" s="19"/>
      <c r="K512" s="17" t="str">
        <f aca="false">IF(AND(I512&lt;&gt;"",J512&lt;&gt;"",J512&lt;&gt;0),I512/J512,"")</f>
        <v/>
      </c>
      <c r="L512" s="19"/>
      <c r="M512" s="19"/>
      <c r="N512" s="19"/>
      <c r="O512" s="19" t="n">
        <v>1.5</v>
      </c>
      <c r="P512" s="17" t="str">
        <f aca="false">IF(AND(N512&lt;&gt;"",O512&lt;&gt;"",I512&lt;&gt;"",I512&lt;&gt;0),N512/(O512*9.81*I512),"")</f>
        <v/>
      </c>
      <c r="Q512" s="19"/>
      <c r="R512" s="20"/>
    </row>
    <row r="513" customFormat="false" ht="15" hidden="false" customHeight="false" outlineLevel="0" collapsed="false">
      <c r="A513" s="11" t="n">
        <v>509</v>
      </c>
      <c r="B513" s="11" t="n">
        <v>195</v>
      </c>
      <c r="C513" s="11" t="n">
        <v>39</v>
      </c>
      <c r="D513" s="11" t="n">
        <v>5</v>
      </c>
      <c r="E513" s="11" t="n">
        <v>1</v>
      </c>
      <c r="F513" s="11" t="s">
        <v>59</v>
      </c>
      <c r="G513" s="11" t="n">
        <v>2</v>
      </c>
      <c r="H513" s="11" t="n">
        <v>20</v>
      </c>
      <c r="I513" s="16"/>
      <c r="J513" s="16"/>
      <c r="K513" s="17" t="str">
        <f aca="false">IF(AND(I513&lt;&gt;"",J513&lt;&gt;"",J513&lt;&gt;0),I513/J513,"")</f>
        <v/>
      </c>
      <c r="L513" s="16"/>
      <c r="M513" s="16"/>
      <c r="N513" s="16"/>
      <c r="O513" s="16" t="n">
        <v>1.5</v>
      </c>
      <c r="P513" s="17" t="str">
        <f aca="false">IF(AND(N513&lt;&gt;"",O513&lt;&gt;"",I513&lt;&gt;"",I513&lt;&gt;0),N513/(O513*9.81*I513),"")</f>
        <v/>
      </c>
      <c r="Q513" s="16"/>
      <c r="R513" s="18"/>
    </row>
    <row r="514" customFormat="false" ht="15" hidden="false" customHeight="false" outlineLevel="0" collapsed="false">
      <c r="A514" s="13" t="n">
        <v>510</v>
      </c>
      <c r="B514" s="13" t="n">
        <v>48</v>
      </c>
      <c r="C514" s="13" t="n">
        <v>10</v>
      </c>
      <c r="D514" s="13" t="n">
        <v>3</v>
      </c>
      <c r="E514" s="13" t="n">
        <v>0.5</v>
      </c>
      <c r="F514" s="13" t="s">
        <v>59</v>
      </c>
      <c r="G514" s="13" t="n">
        <v>2</v>
      </c>
      <c r="H514" s="13" t="n">
        <v>0</v>
      </c>
      <c r="I514" s="19"/>
      <c r="J514" s="19"/>
      <c r="K514" s="17" t="str">
        <f aca="false">IF(AND(I514&lt;&gt;"",J514&lt;&gt;"",J514&lt;&gt;0),I514/J514,"")</f>
        <v/>
      </c>
      <c r="L514" s="19"/>
      <c r="M514" s="19"/>
      <c r="N514" s="19"/>
      <c r="O514" s="19" t="n">
        <v>1.5</v>
      </c>
      <c r="P514" s="17" t="str">
        <f aca="false">IF(AND(N514&lt;&gt;"",O514&lt;&gt;"",I514&lt;&gt;"",I514&lt;&gt;0),N514/(O514*9.81*I514),"")</f>
        <v/>
      </c>
      <c r="Q514" s="19"/>
      <c r="R514" s="20"/>
    </row>
    <row r="515" customFormat="false" ht="15" hidden="false" customHeight="false" outlineLevel="0" collapsed="false">
      <c r="A515" s="11" t="n">
        <v>511</v>
      </c>
      <c r="B515" s="11" t="n">
        <v>53</v>
      </c>
      <c r="C515" s="11" t="n">
        <v>11</v>
      </c>
      <c r="D515" s="11" t="n">
        <v>3</v>
      </c>
      <c r="E515" s="11" t="n">
        <v>0.5</v>
      </c>
      <c r="F515" s="11" t="s">
        <v>59</v>
      </c>
      <c r="G515" s="11" t="n">
        <v>2</v>
      </c>
      <c r="H515" s="11" t="n">
        <v>10</v>
      </c>
      <c r="I515" s="16"/>
      <c r="J515" s="16"/>
      <c r="K515" s="17" t="str">
        <f aca="false">IF(AND(I515&lt;&gt;"",J515&lt;&gt;"",J515&lt;&gt;0),I515/J515,"")</f>
        <v/>
      </c>
      <c r="L515" s="16"/>
      <c r="M515" s="16"/>
      <c r="N515" s="16"/>
      <c r="O515" s="16" t="n">
        <v>1.5</v>
      </c>
      <c r="P515" s="17" t="str">
        <f aca="false">IF(AND(N515&lt;&gt;"",O515&lt;&gt;"",I515&lt;&gt;"",I515&lt;&gt;0),N515/(O515*9.81*I515),"")</f>
        <v/>
      </c>
      <c r="Q515" s="16"/>
      <c r="R515" s="18"/>
    </row>
    <row r="516" customFormat="false" ht="15" hidden="false" customHeight="false" outlineLevel="0" collapsed="false">
      <c r="A516" s="13" t="n">
        <v>512</v>
      </c>
      <c r="B516" s="13" t="n">
        <v>345</v>
      </c>
      <c r="C516" s="13" t="n">
        <v>69</v>
      </c>
      <c r="D516" s="13" t="n">
        <v>5</v>
      </c>
      <c r="E516" s="13" t="n">
        <v>1.5</v>
      </c>
      <c r="F516" s="13" t="s">
        <v>59</v>
      </c>
      <c r="G516" s="13" t="n">
        <v>5</v>
      </c>
      <c r="H516" s="13" t="n">
        <v>20</v>
      </c>
      <c r="I516" s="19"/>
      <c r="J516" s="19"/>
      <c r="K516" s="17" t="str">
        <f aca="false">IF(AND(I516&lt;&gt;"",J516&lt;&gt;"",J516&lt;&gt;0),I516/J516,"")</f>
        <v/>
      </c>
      <c r="L516" s="19"/>
      <c r="M516" s="19"/>
      <c r="N516" s="19"/>
      <c r="O516" s="19" t="n">
        <v>1.5</v>
      </c>
      <c r="P516" s="17" t="str">
        <f aca="false">IF(AND(N516&lt;&gt;"",O516&lt;&gt;"",I516&lt;&gt;"",I516&lt;&gt;0),N516/(O516*9.81*I516),"")</f>
        <v/>
      </c>
      <c r="Q516" s="19"/>
      <c r="R516" s="20"/>
    </row>
    <row r="517" customFormat="false" ht="15" hidden="false" customHeight="false" outlineLevel="0" collapsed="false">
      <c r="A517" s="11" t="n">
        <v>513</v>
      </c>
      <c r="B517" s="11" t="n">
        <v>221</v>
      </c>
      <c r="C517" s="11" t="n">
        <v>45</v>
      </c>
      <c r="D517" s="11" t="n">
        <v>1</v>
      </c>
      <c r="E517" s="11" t="n">
        <v>1</v>
      </c>
      <c r="F517" s="11" t="s">
        <v>59</v>
      </c>
      <c r="G517" s="11" t="n">
        <v>10</v>
      </c>
      <c r="H517" s="11" t="n">
        <v>20</v>
      </c>
      <c r="I517" s="16"/>
      <c r="J517" s="16"/>
      <c r="K517" s="17" t="str">
        <f aca="false">IF(AND(I517&lt;&gt;"",J517&lt;&gt;"",J517&lt;&gt;0),I517/J517,"")</f>
        <v/>
      </c>
      <c r="L517" s="16"/>
      <c r="M517" s="16"/>
      <c r="N517" s="16"/>
      <c r="O517" s="16" t="n">
        <v>1.5</v>
      </c>
      <c r="P517" s="17" t="str">
        <f aca="false">IF(AND(N517&lt;&gt;"",O517&lt;&gt;"",I517&lt;&gt;"",I517&lt;&gt;0),N517/(O517*9.81*I517),"")</f>
        <v/>
      </c>
      <c r="Q517" s="16"/>
      <c r="R517" s="18"/>
    </row>
    <row r="518" customFormat="false" ht="15" hidden="false" customHeight="false" outlineLevel="0" collapsed="false">
      <c r="A518" s="13" t="n">
        <v>514</v>
      </c>
      <c r="B518" s="13" t="n">
        <v>160</v>
      </c>
      <c r="C518" s="13" t="n">
        <v>32</v>
      </c>
      <c r="D518" s="13" t="n">
        <v>5</v>
      </c>
      <c r="E518" s="13" t="n">
        <v>1</v>
      </c>
      <c r="F518" s="13" t="s">
        <v>57</v>
      </c>
      <c r="G518" s="13" t="n">
        <v>5</v>
      </c>
      <c r="H518" s="13" t="n">
        <v>10</v>
      </c>
      <c r="I518" s="19"/>
      <c r="J518" s="19"/>
      <c r="K518" s="17" t="str">
        <f aca="false">IF(AND(I518&lt;&gt;"",J518&lt;&gt;"",J518&lt;&gt;0),I518/J518,"")</f>
        <v/>
      </c>
      <c r="L518" s="19"/>
      <c r="M518" s="19"/>
      <c r="N518" s="19"/>
      <c r="O518" s="19" t="n">
        <v>1.5</v>
      </c>
      <c r="P518" s="17" t="str">
        <f aca="false">IF(AND(N518&lt;&gt;"",O518&lt;&gt;"",I518&lt;&gt;"",I518&lt;&gt;0),N518/(O518*9.81*I518),"")</f>
        <v/>
      </c>
      <c r="Q518" s="19"/>
      <c r="R518" s="20"/>
    </row>
    <row r="519" customFormat="false" ht="15" hidden="false" customHeight="false" outlineLevel="0" collapsed="false">
      <c r="A519" s="11" t="n">
        <v>515</v>
      </c>
      <c r="B519" s="11" t="n">
        <v>520</v>
      </c>
      <c r="C519" s="11" t="n">
        <v>104</v>
      </c>
      <c r="D519" s="11" t="n">
        <v>5</v>
      </c>
      <c r="E519" s="11" t="n">
        <v>2</v>
      </c>
      <c r="F519" s="11" t="s">
        <v>61</v>
      </c>
      <c r="G519" s="11" t="n">
        <v>5</v>
      </c>
      <c r="H519" s="11" t="n">
        <v>10</v>
      </c>
      <c r="I519" s="16"/>
      <c r="J519" s="16"/>
      <c r="K519" s="17" t="str">
        <f aca="false">IF(AND(I519&lt;&gt;"",J519&lt;&gt;"",J519&lt;&gt;0),I519/J519,"")</f>
        <v/>
      </c>
      <c r="L519" s="16"/>
      <c r="M519" s="16"/>
      <c r="N519" s="16"/>
      <c r="O519" s="16" t="n">
        <v>1.5</v>
      </c>
      <c r="P519" s="17" t="str">
        <f aca="false">IF(AND(N519&lt;&gt;"",O519&lt;&gt;"",I519&lt;&gt;"",I519&lt;&gt;0),N519/(O519*9.81*I519),"")</f>
        <v/>
      </c>
      <c r="Q519" s="16"/>
      <c r="R519" s="18"/>
    </row>
    <row r="520" customFormat="false" ht="15" hidden="false" customHeight="false" outlineLevel="0" collapsed="false">
      <c r="A520" s="13" t="n">
        <v>516</v>
      </c>
      <c r="B520" s="13" t="n">
        <v>349</v>
      </c>
      <c r="C520" s="13" t="n">
        <v>70</v>
      </c>
      <c r="D520" s="13" t="n">
        <v>4</v>
      </c>
      <c r="E520" s="13" t="n">
        <v>1.5</v>
      </c>
      <c r="F520" s="13" t="s">
        <v>59</v>
      </c>
      <c r="G520" s="13" t="n">
        <v>10</v>
      </c>
      <c r="H520" s="13" t="n">
        <v>0</v>
      </c>
      <c r="I520" s="19"/>
      <c r="J520" s="19"/>
      <c r="K520" s="17" t="str">
        <f aca="false">IF(AND(I520&lt;&gt;"",J520&lt;&gt;"",J520&lt;&gt;0),I520/J520,"")</f>
        <v/>
      </c>
      <c r="L520" s="19"/>
      <c r="M520" s="19"/>
      <c r="N520" s="19"/>
      <c r="O520" s="19" t="n">
        <v>1.5</v>
      </c>
      <c r="P520" s="17" t="str">
        <f aca="false">IF(AND(N520&lt;&gt;"",O520&lt;&gt;"",I520&lt;&gt;"",I520&lt;&gt;0),N520/(O520*9.81*I520),"")</f>
        <v/>
      </c>
      <c r="Q520" s="19"/>
      <c r="R520" s="20"/>
    </row>
    <row r="521" customFormat="false" ht="15" hidden="false" customHeight="false" outlineLevel="0" collapsed="false">
      <c r="A521" s="11" t="n">
        <v>517</v>
      </c>
      <c r="B521" s="11" t="n">
        <v>532</v>
      </c>
      <c r="C521" s="11" t="n">
        <v>107</v>
      </c>
      <c r="D521" s="11" t="n">
        <v>2</v>
      </c>
      <c r="E521" s="11" t="n">
        <v>2</v>
      </c>
      <c r="F521" s="11" t="s">
        <v>61</v>
      </c>
      <c r="G521" s="11" t="n">
        <v>10</v>
      </c>
      <c r="H521" s="11" t="n">
        <v>10</v>
      </c>
      <c r="I521" s="16"/>
      <c r="J521" s="16"/>
      <c r="K521" s="17" t="str">
        <f aca="false">IF(AND(I521&lt;&gt;"",J521&lt;&gt;"",J521&lt;&gt;0),I521/J521,"")</f>
        <v/>
      </c>
      <c r="L521" s="16"/>
      <c r="M521" s="16"/>
      <c r="N521" s="16"/>
      <c r="O521" s="16" t="n">
        <v>1.5</v>
      </c>
      <c r="P521" s="17" t="str">
        <f aca="false">IF(AND(N521&lt;&gt;"",O521&lt;&gt;"",I521&lt;&gt;"",I521&lt;&gt;0),N521/(O521*9.81*I521),"")</f>
        <v/>
      </c>
      <c r="Q521" s="16"/>
      <c r="R521" s="18"/>
    </row>
    <row r="522" customFormat="false" ht="15" hidden="false" customHeight="false" outlineLevel="0" collapsed="false">
      <c r="A522" s="13" t="n">
        <v>518</v>
      </c>
      <c r="B522" s="13" t="n">
        <v>164</v>
      </c>
      <c r="C522" s="13" t="n">
        <v>33</v>
      </c>
      <c r="D522" s="13" t="n">
        <v>4</v>
      </c>
      <c r="E522" s="13" t="n">
        <v>1</v>
      </c>
      <c r="F522" s="13" t="s">
        <v>57</v>
      </c>
      <c r="G522" s="13" t="n">
        <v>5</v>
      </c>
      <c r="H522" s="13" t="n">
        <v>20</v>
      </c>
      <c r="I522" s="19"/>
      <c r="J522" s="19"/>
      <c r="K522" s="17" t="str">
        <f aca="false">IF(AND(I522&lt;&gt;"",J522&lt;&gt;"",J522&lt;&gt;0),I522/J522,"")</f>
        <v/>
      </c>
      <c r="L522" s="19"/>
      <c r="M522" s="19"/>
      <c r="N522" s="19"/>
      <c r="O522" s="19" t="n">
        <v>1.5</v>
      </c>
      <c r="P522" s="17" t="str">
        <f aca="false">IF(AND(N522&lt;&gt;"",O522&lt;&gt;"",I522&lt;&gt;"",I522&lt;&gt;0),N522/(O522*9.81*I522),"")</f>
        <v/>
      </c>
      <c r="Q522" s="19"/>
      <c r="R522" s="20"/>
    </row>
    <row r="523" customFormat="false" ht="15" hidden="false" customHeight="false" outlineLevel="0" collapsed="false">
      <c r="A523" s="11" t="n">
        <v>519</v>
      </c>
      <c r="B523" s="11" t="n">
        <v>7</v>
      </c>
      <c r="C523" s="11" t="n">
        <v>2</v>
      </c>
      <c r="D523" s="11" t="n">
        <v>2</v>
      </c>
      <c r="E523" s="11" t="n">
        <v>0.5</v>
      </c>
      <c r="F523" s="11" t="s">
        <v>57</v>
      </c>
      <c r="G523" s="11" t="n">
        <v>2</v>
      </c>
      <c r="H523" s="11" t="n">
        <v>10</v>
      </c>
      <c r="I523" s="16"/>
      <c r="J523" s="16"/>
      <c r="K523" s="17" t="str">
        <f aca="false">IF(AND(I523&lt;&gt;"",J523&lt;&gt;"",J523&lt;&gt;0),I523/J523,"")</f>
        <v/>
      </c>
      <c r="L523" s="16"/>
      <c r="M523" s="16"/>
      <c r="N523" s="16"/>
      <c r="O523" s="16" t="n">
        <v>1.5</v>
      </c>
      <c r="P523" s="17" t="str">
        <f aca="false">IF(AND(N523&lt;&gt;"",O523&lt;&gt;"",I523&lt;&gt;"",I523&lt;&gt;0),N523/(O523*9.81*I523),"")</f>
        <v/>
      </c>
      <c r="Q523" s="16"/>
      <c r="R523" s="18"/>
    </row>
    <row r="524" customFormat="false" ht="15" hidden="false" customHeight="false" outlineLevel="0" collapsed="false">
      <c r="A524" s="13" t="n">
        <v>520</v>
      </c>
      <c r="B524" s="13" t="n">
        <v>285</v>
      </c>
      <c r="C524" s="13" t="n">
        <v>57</v>
      </c>
      <c r="D524" s="13" t="n">
        <v>5</v>
      </c>
      <c r="E524" s="13" t="n">
        <v>1.5</v>
      </c>
      <c r="F524" s="13" t="s">
        <v>57</v>
      </c>
      <c r="G524" s="13" t="n">
        <v>2</v>
      </c>
      <c r="H524" s="13" t="n">
        <v>20</v>
      </c>
      <c r="I524" s="19"/>
      <c r="J524" s="19"/>
      <c r="K524" s="17" t="str">
        <f aca="false">IF(AND(I524&lt;&gt;"",J524&lt;&gt;"",J524&lt;&gt;0),I524/J524,"")</f>
        <v/>
      </c>
      <c r="L524" s="19"/>
      <c r="M524" s="19"/>
      <c r="N524" s="19"/>
      <c r="O524" s="19" t="n">
        <v>1.5</v>
      </c>
      <c r="P524" s="17" t="str">
        <f aca="false">IF(AND(N524&lt;&gt;"",O524&lt;&gt;"",I524&lt;&gt;"",I524&lt;&gt;0),N524/(O524*9.81*I524),"")</f>
        <v/>
      </c>
      <c r="Q524" s="19"/>
      <c r="R524" s="20"/>
    </row>
    <row r="525" customFormat="false" ht="15" hidden="false" customHeight="false" outlineLevel="0" collapsed="false">
      <c r="A525" s="11" t="n">
        <v>521</v>
      </c>
      <c r="B525" s="11" t="n">
        <v>460</v>
      </c>
      <c r="C525" s="11" t="n">
        <v>92</v>
      </c>
      <c r="D525" s="11" t="n">
        <v>5</v>
      </c>
      <c r="E525" s="11" t="n">
        <v>2</v>
      </c>
      <c r="F525" s="11" t="s">
        <v>59</v>
      </c>
      <c r="G525" s="11" t="n">
        <v>2</v>
      </c>
      <c r="H525" s="11" t="n">
        <v>10</v>
      </c>
      <c r="I525" s="16"/>
      <c r="J525" s="16"/>
      <c r="K525" s="17" t="str">
        <f aca="false">IF(AND(I525&lt;&gt;"",J525&lt;&gt;"",J525&lt;&gt;0),I525/J525,"")</f>
        <v/>
      </c>
      <c r="L525" s="16"/>
      <c r="M525" s="16"/>
      <c r="N525" s="16"/>
      <c r="O525" s="16" t="n">
        <v>1.5</v>
      </c>
      <c r="P525" s="17" t="str">
        <f aca="false">IF(AND(N525&lt;&gt;"",O525&lt;&gt;"",I525&lt;&gt;"",I525&lt;&gt;0),N525/(O525*9.81*I525),"")</f>
        <v/>
      </c>
      <c r="Q525" s="16"/>
      <c r="R525" s="18"/>
    </row>
    <row r="526" customFormat="false" ht="15" hidden="false" customHeight="false" outlineLevel="0" collapsed="false">
      <c r="A526" s="13" t="n">
        <v>522</v>
      </c>
      <c r="B526" s="13" t="n">
        <v>226</v>
      </c>
      <c r="C526" s="13" t="n">
        <v>46</v>
      </c>
      <c r="D526" s="13" t="n">
        <v>1</v>
      </c>
      <c r="E526" s="13" t="n">
        <v>1</v>
      </c>
      <c r="F526" s="13" t="s">
        <v>61</v>
      </c>
      <c r="G526" s="13" t="n">
        <v>2</v>
      </c>
      <c r="H526" s="13" t="n">
        <v>0</v>
      </c>
      <c r="I526" s="19"/>
      <c r="J526" s="19"/>
      <c r="K526" s="17" t="str">
        <f aca="false">IF(AND(I526&lt;&gt;"",J526&lt;&gt;"",J526&lt;&gt;0),I526/J526,"")</f>
        <v/>
      </c>
      <c r="L526" s="19"/>
      <c r="M526" s="19"/>
      <c r="N526" s="19"/>
      <c r="O526" s="19" t="n">
        <v>1.5</v>
      </c>
      <c r="P526" s="17" t="str">
        <f aca="false">IF(AND(N526&lt;&gt;"",O526&lt;&gt;"",I526&lt;&gt;"",I526&lt;&gt;0),N526/(O526*9.81*I526),"")</f>
        <v/>
      </c>
      <c r="Q526" s="19"/>
      <c r="R526" s="20"/>
    </row>
    <row r="527" customFormat="false" ht="15" hidden="false" customHeight="false" outlineLevel="0" collapsed="false">
      <c r="A527" s="11" t="n">
        <v>523</v>
      </c>
      <c r="B527" s="11" t="n">
        <v>430</v>
      </c>
      <c r="C527" s="11" t="n">
        <v>86</v>
      </c>
      <c r="D527" s="11" t="n">
        <v>5</v>
      </c>
      <c r="E527" s="11" t="n">
        <v>2</v>
      </c>
      <c r="F527" s="11" t="s">
        <v>57</v>
      </c>
      <c r="G527" s="11" t="n">
        <v>5</v>
      </c>
      <c r="H527" s="11" t="n">
        <v>10</v>
      </c>
      <c r="I527" s="16"/>
      <c r="J527" s="16"/>
      <c r="K527" s="17" t="str">
        <f aca="false">IF(AND(I527&lt;&gt;"",J527&lt;&gt;"",J527&lt;&gt;0),I527/J527,"")</f>
        <v/>
      </c>
      <c r="L527" s="16"/>
      <c r="M527" s="16"/>
      <c r="N527" s="16"/>
      <c r="O527" s="16" t="n">
        <v>1.5</v>
      </c>
      <c r="P527" s="17" t="str">
        <f aca="false">IF(AND(N527&lt;&gt;"",O527&lt;&gt;"",I527&lt;&gt;"",I527&lt;&gt;0),N527/(O527*9.81*I527),"")</f>
        <v/>
      </c>
      <c r="Q527" s="16"/>
      <c r="R527" s="18"/>
    </row>
    <row r="528" customFormat="false" ht="15" hidden="false" customHeight="false" outlineLevel="0" collapsed="false">
      <c r="A528" s="13" t="n">
        <v>524</v>
      </c>
      <c r="B528" s="13" t="n">
        <v>204</v>
      </c>
      <c r="C528" s="13" t="n">
        <v>41</v>
      </c>
      <c r="D528" s="13" t="n">
        <v>4</v>
      </c>
      <c r="E528" s="13" t="n">
        <v>1</v>
      </c>
      <c r="F528" s="13" t="s">
        <v>59</v>
      </c>
      <c r="G528" s="13" t="n">
        <v>5</v>
      </c>
      <c r="H528" s="13" t="n">
        <v>10</v>
      </c>
      <c r="I528" s="19"/>
      <c r="J528" s="19"/>
      <c r="K528" s="17" t="str">
        <f aca="false">IF(AND(I528&lt;&gt;"",J528&lt;&gt;"",J528&lt;&gt;0),I528/J528,"")</f>
        <v/>
      </c>
      <c r="L528" s="19"/>
      <c r="M528" s="19"/>
      <c r="N528" s="19"/>
      <c r="O528" s="19" t="n">
        <v>1.5</v>
      </c>
      <c r="P528" s="17" t="str">
        <f aca="false">IF(AND(N528&lt;&gt;"",O528&lt;&gt;"",I528&lt;&gt;"",I528&lt;&gt;0),N528/(O528*9.81*I528),"")</f>
        <v/>
      </c>
      <c r="Q528" s="19"/>
      <c r="R528" s="20"/>
    </row>
    <row r="529" customFormat="false" ht="15" hidden="false" customHeight="false" outlineLevel="0" collapsed="false">
      <c r="A529" s="11" t="n">
        <v>525</v>
      </c>
      <c r="B529" s="11" t="n">
        <v>28</v>
      </c>
      <c r="C529" s="11" t="n">
        <v>6</v>
      </c>
      <c r="D529" s="11" t="n">
        <v>3</v>
      </c>
      <c r="E529" s="11" t="n">
        <v>0.5</v>
      </c>
      <c r="F529" s="11" t="s">
        <v>57</v>
      </c>
      <c r="G529" s="11" t="n">
        <v>5</v>
      </c>
      <c r="H529" s="11" t="n">
        <v>20</v>
      </c>
      <c r="I529" s="16"/>
      <c r="J529" s="16"/>
      <c r="K529" s="17" t="str">
        <f aca="false">IF(AND(I529&lt;&gt;"",J529&lt;&gt;"",J529&lt;&gt;0),I529/J529,"")</f>
        <v/>
      </c>
      <c r="L529" s="16"/>
      <c r="M529" s="16"/>
      <c r="N529" s="16"/>
      <c r="O529" s="16" t="n">
        <v>1.5</v>
      </c>
      <c r="P529" s="17" t="str">
        <f aca="false">IF(AND(N529&lt;&gt;"",O529&lt;&gt;"",I529&lt;&gt;"",I529&lt;&gt;0),N529/(O529*9.81*I529),"")</f>
        <v/>
      </c>
      <c r="Q529" s="16"/>
      <c r="R529" s="18"/>
    </row>
    <row r="530" customFormat="false" ht="15" hidden="false" customHeight="false" outlineLevel="0" collapsed="false">
      <c r="A530" s="13" t="n">
        <v>526</v>
      </c>
      <c r="B530" s="13" t="n">
        <v>518</v>
      </c>
      <c r="C530" s="13" t="n">
        <v>104</v>
      </c>
      <c r="D530" s="13" t="n">
        <v>3</v>
      </c>
      <c r="E530" s="13" t="n">
        <v>2</v>
      </c>
      <c r="F530" s="13" t="s">
        <v>61</v>
      </c>
      <c r="G530" s="13" t="n">
        <v>5</v>
      </c>
      <c r="H530" s="13" t="n">
        <v>10</v>
      </c>
      <c r="I530" s="19"/>
      <c r="J530" s="19"/>
      <c r="K530" s="17" t="str">
        <f aca="false">IF(AND(I530&lt;&gt;"",J530&lt;&gt;"",J530&lt;&gt;0),I530/J530,"")</f>
        <v/>
      </c>
      <c r="L530" s="19"/>
      <c r="M530" s="19"/>
      <c r="N530" s="19"/>
      <c r="O530" s="19" t="n">
        <v>1.5</v>
      </c>
      <c r="P530" s="17" t="str">
        <f aca="false">IF(AND(N530&lt;&gt;"",O530&lt;&gt;"",I530&lt;&gt;"",I530&lt;&gt;0),N530/(O530*9.81*I530),"")</f>
        <v/>
      </c>
      <c r="Q530" s="19"/>
      <c r="R530" s="20"/>
    </row>
    <row r="531" customFormat="false" ht="15" hidden="false" customHeight="false" outlineLevel="0" collapsed="false">
      <c r="A531" s="11" t="n">
        <v>527</v>
      </c>
      <c r="B531" s="11" t="n">
        <v>239</v>
      </c>
      <c r="C531" s="11" t="n">
        <v>48</v>
      </c>
      <c r="D531" s="11" t="n">
        <v>4</v>
      </c>
      <c r="E531" s="11" t="n">
        <v>1</v>
      </c>
      <c r="F531" s="11" t="s">
        <v>61</v>
      </c>
      <c r="G531" s="11" t="n">
        <v>2</v>
      </c>
      <c r="H531" s="11" t="n">
        <v>20</v>
      </c>
      <c r="I531" s="16"/>
      <c r="J531" s="16"/>
      <c r="K531" s="17" t="str">
        <f aca="false">IF(AND(I531&lt;&gt;"",J531&lt;&gt;"",J531&lt;&gt;0),I531/J531,"")</f>
        <v/>
      </c>
      <c r="L531" s="16"/>
      <c r="M531" s="16"/>
      <c r="N531" s="16"/>
      <c r="O531" s="16" t="n">
        <v>1.5</v>
      </c>
      <c r="P531" s="17" t="str">
        <f aca="false">IF(AND(N531&lt;&gt;"",O531&lt;&gt;"",I531&lt;&gt;"",I531&lt;&gt;0),N531/(O531*9.81*I531),"")</f>
        <v/>
      </c>
      <c r="Q531" s="16"/>
      <c r="R531" s="18"/>
    </row>
    <row r="532" customFormat="false" ht="15" hidden="false" customHeight="false" outlineLevel="0" collapsed="false">
      <c r="A532" s="13" t="n">
        <v>528</v>
      </c>
      <c r="B532" s="13" t="n">
        <v>224</v>
      </c>
      <c r="C532" s="13" t="n">
        <v>45</v>
      </c>
      <c r="D532" s="13" t="n">
        <v>4</v>
      </c>
      <c r="E532" s="13" t="n">
        <v>1</v>
      </c>
      <c r="F532" s="13" t="s">
        <v>59</v>
      </c>
      <c r="G532" s="13" t="n">
        <v>10</v>
      </c>
      <c r="H532" s="13" t="n">
        <v>20</v>
      </c>
      <c r="I532" s="19"/>
      <c r="J532" s="19"/>
      <c r="K532" s="17" t="str">
        <f aca="false">IF(AND(I532&lt;&gt;"",J532&lt;&gt;"",J532&lt;&gt;0),I532/J532,"")</f>
        <v/>
      </c>
      <c r="L532" s="19"/>
      <c r="M532" s="19"/>
      <c r="N532" s="19"/>
      <c r="O532" s="19" t="n">
        <v>1.5</v>
      </c>
      <c r="P532" s="17" t="str">
        <f aca="false">IF(AND(N532&lt;&gt;"",O532&lt;&gt;"",I532&lt;&gt;"",I532&lt;&gt;0),N532/(O532*9.81*I532),"")</f>
        <v/>
      </c>
      <c r="Q532" s="19"/>
      <c r="R532" s="20"/>
    </row>
    <row r="533" customFormat="false" ht="15" hidden="false" customHeight="false" outlineLevel="0" collapsed="false">
      <c r="A533" s="11" t="n">
        <v>529</v>
      </c>
      <c r="B533" s="11" t="n">
        <v>96</v>
      </c>
      <c r="C533" s="11" t="n">
        <v>20</v>
      </c>
      <c r="D533" s="11" t="n">
        <v>1</v>
      </c>
      <c r="E533" s="11" t="n">
        <v>0.5</v>
      </c>
      <c r="F533" s="11" t="s">
        <v>61</v>
      </c>
      <c r="G533" s="11" t="n">
        <v>2</v>
      </c>
      <c r="H533" s="11" t="n">
        <v>10</v>
      </c>
      <c r="I533" s="16"/>
      <c r="J533" s="16"/>
      <c r="K533" s="17" t="str">
        <f aca="false">IF(AND(I533&lt;&gt;"",J533&lt;&gt;"",J533&lt;&gt;0),I533/J533,"")</f>
        <v/>
      </c>
      <c r="L533" s="16"/>
      <c r="M533" s="16"/>
      <c r="N533" s="16"/>
      <c r="O533" s="16" t="n">
        <v>1.5</v>
      </c>
      <c r="P533" s="17" t="str">
        <f aca="false">IF(AND(N533&lt;&gt;"",O533&lt;&gt;"",I533&lt;&gt;"",I533&lt;&gt;0),N533/(O533*9.81*I533),"")</f>
        <v/>
      </c>
      <c r="Q533" s="16"/>
      <c r="R533" s="18"/>
    </row>
    <row r="534" customFormat="false" ht="15" hidden="false" customHeight="false" outlineLevel="0" collapsed="false">
      <c r="A534" s="13" t="n">
        <v>530</v>
      </c>
      <c r="B534" s="13" t="n">
        <v>31</v>
      </c>
      <c r="C534" s="13" t="n">
        <v>7</v>
      </c>
      <c r="D534" s="13" t="n">
        <v>1</v>
      </c>
      <c r="E534" s="13" t="n">
        <v>0.5</v>
      </c>
      <c r="F534" s="13" t="s">
        <v>57</v>
      </c>
      <c r="G534" s="13" t="n">
        <v>10</v>
      </c>
      <c r="H534" s="13" t="n">
        <v>0</v>
      </c>
      <c r="I534" s="19"/>
      <c r="J534" s="19"/>
      <c r="K534" s="17" t="str">
        <f aca="false">IF(AND(I534&lt;&gt;"",J534&lt;&gt;"",J534&lt;&gt;0),I534/J534,"")</f>
        <v/>
      </c>
      <c r="L534" s="19"/>
      <c r="M534" s="19"/>
      <c r="N534" s="19"/>
      <c r="O534" s="19" t="n">
        <v>1.5</v>
      </c>
      <c r="P534" s="17" t="str">
        <f aca="false">IF(AND(N534&lt;&gt;"",O534&lt;&gt;"",I534&lt;&gt;"",I534&lt;&gt;0),N534/(O534*9.81*I534),"")</f>
        <v/>
      </c>
      <c r="Q534" s="19"/>
      <c r="R534" s="20"/>
    </row>
    <row r="535" customFormat="false" ht="15" hidden="false" customHeight="false" outlineLevel="0" collapsed="false">
      <c r="A535" s="11" t="n">
        <v>531</v>
      </c>
      <c r="B535" s="11" t="n">
        <v>33</v>
      </c>
      <c r="C535" s="11" t="n">
        <v>7</v>
      </c>
      <c r="D535" s="11" t="n">
        <v>3</v>
      </c>
      <c r="E535" s="11" t="n">
        <v>0.5</v>
      </c>
      <c r="F535" s="11" t="s">
        <v>57</v>
      </c>
      <c r="G535" s="11" t="n">
        <v>10</v>
      </c>
      <c r="H535" s="11" t="n">
        <v>0</v>
      </c>
      <c r="I535" s="16"/>
      <c r="J535" s="16"/>
      <c r="K535" s="17" t="str">
        <f aca="false">IF(AND(I535&lt;&gt;"",J535&lt;&gt;"",J535&lt;&gt;0),I535/J535,"")</f>
        <v/>
      </c>
      <c r="L535" s="16"/>
      <c r="M535" s="16"/>
      <c r="N535" s="16"/>
      <c r="O535" s="16" t="n">
        <v>1.5</v>
      </c>
      <c r="P535" s="17" t="str">
        <f aca="false">IF(AND(N535&lt;&gt;"",O535&lt;&gt;"",I535&lt;&gt;"",I535&lt;&gt;0),N535/(O535*9.81*I535),"")</f>
        <v/>
      </c>
      <c r="Q535" s="16"/>
      <c r="R535" s="18"/>
    </row>
    <row r="536" customFormat="false" ht="15" hidden="false" customHeight="false" outlineLevel="0" collapsed="false">
      <c r="A536" s="13" t="n">
        <v>532</v>
      </c>
      <c r="B536" s="13" t="n">
        <v>433</v>
      </c>
      <c r="C536" s="13" t="n">
        <v>87</v>
      </c>
      <c r="D536" s="13" t="n">
        <v>3</v>
      </c>
      <c r="E536" s="13" t="n">
        <v>2</v>
      </c>
      <c r="F536" s="13" t="s">
        <v>57</v>
      </c>
      <c r="G536" s="13" t="n">
        <v>5</v>
      </c>
      <c r="H536" s="13" t="n">
        <v>20</v>
      </c>
      <c r="I536" s="19"/>
      <c r="J536" s="19"/>
      <c r="K536" s="17" t="str">
        <f aca="false">IF(AND(I536&lt;&gt;"",J536&lt;&gt;"",J536&lt;&gt;0),I536/J536,"")</f>
        <v/>
      </c>
      <c r="L536" s="19"/>
      <c r="M536" s="19"/>
      <c r="N536" s="19"/>
      <c r="O536" s="19" t="n">
        <v>1.5</v>
      </c>
      <c r="P536" s="17" t="str">
        <f aca="false">IF(AND(N536&lt;&gt;"",O536&lt;&gt;"",I536&lt;&gt;"",I536&lt;&gt;0),N536/(O536*9.81*I536),"")</f>
        <v/>
      </c>
      <c r="Q536" s="19"/>
      <c r="R536" s="20"/>
    </row>
    <row r="537" customFormat="false" ht="15" hidden="false" customHeight="false" outlineLevel="0" collapsed="false">
      <c r="A537" s="11" t="n">
        <v>533</v>
      </c>
      <c r="B537" s="11" t="n">
        <v>90</v>
      </c>
      <c r="C537" s="11" t="n">
        <v>18</v>
      </c>
      <c r="D537" s="11" t="n">
        <v>5</v>
      </c>
      <c r="E537" s="11" t="n">
        <v>0.5</v>
      </c>
      <c r="F537" s="11" t="s">
        <v>59</v>
      </c>
      <c r="G537" s="11" t="n">
        <v>10</v>
      </c>
      <c r="H537" s="11" t="n">
        <v>20</v>
      </c>
      <c r="I537" s="16"/>
      <c r="J537" s="16"/>
      <c r="K537" s="17" t="str">
        <f aca="false">IF(AND(I537&lt;&gt;"",J537&lt;&gt;"",J537&lt;&gt;0),I537/J537,"")</f>
        <v/>
      </c>
      <c r="L537" s="16"/>
      <c r="M537" s="16"/>
      <c r="N537" s="16"/>
      <c r="O537" s="16" t="n">
        <v>1.5</v>
      </c>
      <c r="P537" s="17" t="str">
        <f aca="false">IF(AND(N537&lt;&gt;"",O537&lt;&gt;"",I537&lt;&gt;"",I537&lt;&gt;0),N537/(O537*9.81*I537),"")</f>
        <v/>
      </c>
      <c r="Q537" s="16"/>
      <c r="R537" s="18"/>
    </row>
    <row r="538" customFormat="false" ht="15" hidden="false" customHeight="false" outlineLevel="0" collapsed="false">
      <c r="A538" s="13" t="n">
        <v>534</v>
      </c>
      <c r="B538" s="13" t="n">
        <v>105</v>
      </c>
      <c r="C538" s="13" t="n">
        <v>21</v>
      </c>
      <c r="D538" s="13" t="n">
        <v>5</v>
      </c>
      <c r="E538" s="13" t="n">
        <v>0.5</v>
      </c>
      <c r="F538" s="13" t="s">
        <v>61</v>
      </c>
      <c r="G538" s="13" t="n">
        <v>2</v>
      </c>
      <c r="H538" s="13" t="n">
        <v>20</v>
      </c>
      <c r="I538" s="19"/>
      <c r="J538" s="19"/>
      <c r="K538" s="17" t="str">
        <f aca="false">IF(AND(I538&lt;&gt;"",J538&lt;&gt;"",J538&lt;&gt;0),I538/J538,"")</f>
        <v/>
      </c>
      <c r="L538" s="19"/>
      <c r="M538" s="19"/>
      <c r="N538" s="19"/>
      <c r="O538" s="19" t="n">
        <v>1.5</v>
      </c>
      <c r="P538" s="17" t="str">
        <f aca="false">IF(AND(N538&lt;&gt;"",O538&lt;&gt;"",I538&lt;&gt;"",I538&lt;&gt;0),N538/(O538*9.81*I538),"")</f>
        <v/>
      </c>
      <c r="Q538" s="19"/>
      <c r="R538" s="20"/>
    </row>
    <row r="539" customFormat="false" ht="15" hidden="false" customHeight="false" outlineLevel="0" collapsed="false">
      <c r="A539" s="11" t="n">
        <v>535</v>
      </c>
      <c r="B539" s="11" t="n">
        <v>143</v>
      </c>
      <c r="C539" s="11" t="n">
        <v>29</v>
      </c>
      <c r="D539" s="11" t="n">
        <v>3</v>
      </c>
      <c r="E539" s="11" t="n">
        <v>1</v>
      </c>
      <c r="F539" s="11" t="s">
        <v>57</v>
      </c>
      <c r="G539" s="11" t="n">
        <v>2</v>
      </c>
      <c r="H539" s="11" t="n">
        <v>10</v>
      </c>
      <c r="I539" s="16"/>
      <c r="J539" s="16"/>
      <c r="K539" s="17" t="str">
        <f aca="false">IF(AND(I539&lt;&gt;"",J539&lt;&gt;"",J539&lt;&gt;0),I539/J539,"")</f>
        <v/>
      </c>
      <c r="L539" s="16"/>
      <c r="M539" s="16"/>
      <c r="N539" s="16"/>
      <c r="O539" s="16" t="n">
        <v>1.5</v>
      </c>
      <c r="P539" s="17" t="str">
        <f aca="false">IF(AND(N539&lt;&gt;"",O539&lt;&gt;"",I539&lt;&gt;"",I539&lt;&gt;0),N539/(O539*9.81*I539),"")</f>
        <v/>
      </c>
      <c r="Q539" s="16"/>
      <c r="R539" s="18"/>
    </row>
    <row r="540" customFormat="false" ht="15" hidden="false" customHeight="false" outlineLevel="0" collapsed="false">
      <c r="A540" s="13" t="n">
        <v>536</v>
      </c>
      <c r="B540" s="13" t="n">
        <v>229</v>
      </c>
      <c r="C540" s="13" t="n">
        <v>46</v>
      </c>
      <c r="D540" s="13" t="n">
        <v>4</v>
      </c>
      <c r="E540" s="13" t="n">
        <v>1</v>
      </c>
      <c r="F540" s="13" t="s">
        <v>61</v>
      </c>
      <c r="G540" s="13" t="n">
        <v>2</v>
      </c>
      <c r="H540" s="13" t="n">
        <v>0</v>
      </c>
      <c r="I540" s="19"/>
      <c r="J540" s="19"/>
      <c r="K540" s="17" t="str">
        <f aca="false">IF(AND(I540&lt;&gt;"",J540&lt;&gt;"",J540&lt;&gt;0),I540/J540,"")</f>
        <v/>
      </c>
      <c r="L540" s="19"/>
      <c r="M540" s="19"/>
      <c r="N540" s="19"/>
      <c r="O540" s="19" t="n">
        <v>1.5</v>
      </c>
      <c r="P540" s="17" t="str">
        <f aca="false">IF(AND(N540&lt;&gt;"",O540&lt;&gt;"",I540&lt;&gt;"",I540&lt;&gt;0),N540/(O540*9.81*I540),"")</f>
        <v/>
      </c>
      <c r="Q540" s="19"/>
      <c r="R540" s="20"/>
    </row>
    <row r="541" customFormat="false" ht="15" hidden="false" customHeight="false" outlineLevel="0" collapsed="false">
      <c r="A541" s="11" t="n">
        <v>537</v>
      </c>
      <c r="B541" s="11" t="n">
        <v>251</v>
      </c>
      <c r="C541" s="11" t="n">
        <v>51</v>
      </c>
      <c r="D541" s="11" t="n">
        <v>1</v>
      </c>
      <c r="E541" s="11" t="n">
        <v>1</v>
      </c>
      <c r="F541" s="11" t="s">
        <v>61</v>
      </c>
      <c r="G541" s="11" t="n">
        <v>5</v>
      </c>
      <c r="H541" s="11" t="n">
        <v>20</v>
      </c>
      <c r="I541" s="16"/>
      <c r="J541" s="16"/>
      <c r="K541" s="17" t="str">
        <f aca="false">IF(AND(I541&lt;&gt;"",J541&lt;&gt;"",J541&lt;&gt;0),I541/J541,"")</f>
        <v/>
      </c>
      <c r="L541" s="16"/>
      <c r="M541" s="16"/>
      <c r="N541" s="16"/>
      <c r="O541" s="16" t="n">
        <v>1.5</v>
      </c>
      <c r="P541" s="17" t="str">
        <f aca="false">IF(AND(N541&lt;&gt;"",O541&lt;&gt;"",I541&lt;&gt;"",I541&lt;&gt;0),N541/(O541*9.81*I541),"")</f>
        <v/>
      </c>
      <c r="Q541" s="16"/>
      <c r="R541" s="18"/>
    </row>
    <row r="542" customFormat="false" ht="15" hidden="false" customHeight="false" outlineLevel="0" collapsed="false">
      <c r="A542" s="13" t="n">
        <v>538</v>
      </c>
      <c r="B542" s="13" t="n">
        <v>282</v>
      </c>
      <c r="C542" s="13" t="n">
        <v>57</v>
      </c>
      <c r="D542" s="13" t="n">
        <v>2</v>
      </c>
      <c r="E542" s="13" t="n">
        <v>1.5</v>
      </c>
      <c r="F542" s="13" t="s">
        <v>57</v>
      </c>
      <c r="G542" s="13" t="n">
        <v>2</v>
      </c>
      <c r="H542" s="13" t="n">
        <v>20</v>
      </c>
      <c r="I542" s="19"/>
      <c r="J542" s="19"/>
      <c r="K542" s="17" t="str">
        <f aca="false">IF(AND(I542&lt;&gt;"",J542&lt;&gt;"",J542&lt;&gt;0),I542/J542,"")</f>
        <v/>
      </c>
      <c r="L542" s="19"/>
      <c r="M542" s="19"/>
      <c r="N542" s="19"/>
      <c r="O542" s="19" t="n">
        <v>1.5</v>
      </c>
      <c r="P542" s="17" t="str">
        <f aca="false">IF(AND(N542&lt;&gt;"",O542&lt;&gt;"",I542&lt;&gt;"",I542&lt;&gt;0),N542/(O542*9.81*I542),"")</f>
        <v/>
      </c>
      <c r="Q542" s="19"/>
      <c r="R542" s="20"/>
    </row>
    <row r="543" customFormat="false" ht="15" hidden="false" customHeight="false" outlineLevel="0" collapsed="false">
      <c r="A543" s="11" t="n">
        <v>539</v>
      </c>
      <c r="B543" s="11" t="n">
        <v>26</v>
      </c>
      <c r="C543" s="11" t="n">
        <v>6</v>
      </c>
      <c r="D543" s="11" t="n">
        <v>1</v>
      </c>
      <c r="E543" s="11" t="n">
        <v>0.5</v>
      </c>
      <c r="F543" s="11" t="s">
        <v>57</v>
      </c>
      <c r="G543" s="11" t="n">
        <v>5</v>
      </c>
      <c r="H543" s="11" t="n">
        <v>20</v>
      </c>
      <c r="I543" s="16"/>
      <c r="J543" s="16"/>
      <c r="K543" s="17" t="str">
        <f aca="false">IF(AND(I543&lt;&gt;"",J543&lt;&gt;"",J543&lt;&gt;0),I543/J543,"")</f>
        <v/>
      </c>
      <c r="L543" s="16"/>
      <c r="M543" s="16"/>
      <c r="N543" s="16"/>
      <c r="O543" s="16" t="n">
        <v>1.5</v>
      </c>
      <c r="P543" s="17" t="str">
        <f aca="false">IF(AND(N543&lt;&gt;"",O543&lt;&gt;"",I543&lt;&gt;"",I543&lt;&gt;0),N543/(O543*9.81*I543),"")</f>
        <v/>
      </c>
      <c r="Q543" s="16"/>
      <c r="R543" s="18"/>
    </row>
    <row r="544" customFormat="false" ht="15" hidden="false" customHeight="false" outlineLevel="0" collapsed="false">
      <c r="A544" s="13" t="n">
        <v>540</v>
      </c>
      <c r="B544" s="13" t="n">
        <v>115</v>
      </c>
      <c r="C544" s="13" t="n">
        <v>23</v>
      </c>
      <c r="D544" s="13" t="n">
        <v>5</v>
      </c>
      <c r="E544" s="13" t="n">
        <v>0.5</v>
      </c>
      <c r="F544" s="13" t="s">
        <v>61</v>
      </c>
      <c r="G544" s="13" t="n">
        <v>5</v>
      </c>
      <c r="H544" s="13" t="n">
        <v>10</v>
      </c>
      <c r="I544" s="19"/>
      <c r="J544" s="19"/>
      <c r="K544" s="17" t="str">
        <f aca="false">IF(AND(I544&lt;&gt;"",J544&lt;&gt;"",J544&lt;&gt;0),I544/J544,"")</f>
        <v/>
      </c>
      <c r="L544" s="19"/>
      <c r="M544" s="19"/>
      <c r="N544" s="19"/>
      <c r="O544" s="19" t="n">
        <v>1.5</v>
      </c>
      <c r="P544" s="17" t="str">
        <f aca="false">IF(AND(N544&lt;&gt;"",O544&lt;&gt;"",I544&lt;&gt;"",I544&lt;&gt;0),N544/(O544*9.81*I544),"")</f>
        <v/>
      </c>
      <c r="Q544" s="19"/>
      <c r="R544" s="20"/>
    </row>
  </sheetData>
  <mergeCells count="2">
    <mergeCell ref="A1:P1"/>
    <mergeCell ref="A2:P2"/>
  </mergeCells>
  <conditionalFormatting sqref="M5:M544">
    <cfRule type="cellIs" priority="2" operator="equal" aboveAverage="0" equalAverage="0" bottom="0" percent="0" rank="0" text="" dxfId="0">
      <formula>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97</v>
      </c>
    </row>
    <row r="4" customFormat="false" ht="15" hidden="false" customHeight="false" outlineLevel="0" collapsed="false">
      <c r="B4" s="4" t="s">
        <v>98</v>
      </c>
    </row>
    <row r="5" customFormat="false" ht="30" hidden="false" customHeight="true" outlineLevel="0" collapsed="false">
      <c r="B5" s="6" t="s">
        <v>99</v>
      </c>
    </row>
    <row r="7" customFormat="false" ht="15" hidden="false" customHeight="false" outlineLevel="0" collapsed="false">
      <c r="B7" s="4" t="s">
        <v>100</v>
      </c>
    </row>
    <row r="8" customFormat="false" ht="30" hidden="false" customHeight="true" outlineLevel="0" collapsed="false">
      <c r="B8" s="6" t="s">
        <v>101</v>
      </c>
    </row>
    <row r="10" customFormat="false" ht="15" hidden="false" customHeight="false" outlineLevel="0" collapsed="false">
      <c r="B10" s="4" t="s">
        <v>102</v>
      </c>
    </row>
    <row r="11" customFormat="false" ht="30" hidden="false" customHeight="true" outlineLevel="0" collapsed="false">
      <c r="B11" s="6" t="s">
        <v>103</v>
      </c>
    </row>
    <row r="13" customFormat="false" ht="15" hidden="false" customHeight="false" outlineLevel="0" collapsed="false">
      <c r="B13" s="4" t="s">
        <v>104</v>
      </c>
    </row>
    <row r="14" customFormat="false" ht="30" hidden="false" customHeight="true" outlineLevel="0" collapsed="false">
      <c r="B14" s="6" t="s">
        <v>105</v>
      </c>
    </row>
    <row r="16" customFormat="false" ht="15" hidden="false" customHeight="false" outlineLevel="0" collapsed="false">
      <c r="B16" s="4" t="s">
        <v>106</v>
      </c>
    </row>
    <row r="17" customFormat="false" ht="30" hidden="false" customHeight="true" outlineLevel="0" collapsed="false">
      <c r="B17" s="6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2026-07-07T03:38:27Z</dcterms:created>
  <dc:creator>openpyxl</dc:creator>
  <dc:description/>
  <dc:language>en-US</dc:language>
  <cp:lastModifiedBy/>
  <dcterms:modified xsi:type="dcterms:W3CDTF">2026-07-07T03:38:28Z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